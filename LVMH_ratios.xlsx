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 statement" sheetId="3" r:id="rId6"/>
    <sheet state="visible" name="Simplified balance sheet" sheetId="4" r:id="rId7"/>
    <sheet state="visible" name="Ratios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8">
      <text>
        <t xml:space="preserve">BOYER Stephanie:
Return on total capital (equity+total debt), not on capital employed (equity+total debt-cash).</t>
      </text>
    </comment>
    <comment authorId="0" ref="K46">
      <text>
        <t xml:space="preserve">BOYER Stephanie:
Net debt is negative i.e more cash than short-term debt</t>
      </text>
    </comment>
    <comment authorId="0" ref="E52">
      <text>
        <t xml:space="preserve">BOYER Stephanie:
Calculated as Total debt/EBITDA by S&amp;Pcapital IQ</t>
      </text>
    </comment>
    <comment authorId="0" ref="E70">
      <text>
        <t xml:space="preserve">BOYER Stephanie:
Calculated in days of sales revenue by S&amp;PCapitalIQ</t>
      </text>
    </comment>
  </commentList>
</comments>
</file>

<file path=xl/sharedStrings.xml><?xml version="1.0" encoding="utf-8"?>
<sst xmlns="http://schemas.openxmlformats.org/spreadsheetml/2006/main" count="180" uniqueCount="142">
  <si>
    <t>CONSOLIDATED INCOME STATEMENT LVMH</t>
  </si>
  <si>
    <t>vertical analysis</t>
  </si>
  <si>
    <t>horizontal analysis</t>
  </si>
  <si>
    <t>in € millions</t>
  </si>
  <si>
    <t>% of revenue 2024</t>
  </si>
  <si>
    <t>% of revenue 2023</t>
  </si>
  <si>
    <t>% of revenue 2022</t>
  </si>
  <si>
    <t>Δ 2024-2023 (€)</t>
  </si>
  <si>
    <t>Δ 2024–2023 (%)</t>
  </si>
  <si>
    <t>Δ 2023-2022 (€)</t>
  </si>
  <si>
    <t>Δ 2023–2022 (%)</t>
  </si>
  <si>
    <t>Revenue</t>
  </si>
  <si>
    <t>Cost of sales</t>
  </si>
  <si>
    <t>GROSS PROFIT</t>
  </si>
  <si>
    <t>Marketing &amp; selling expenses</t>
  </si>
  <si>
    <t>General and administrative expenses</t>
  </si>
  <si>
    <t>Income (Loss) from JVs and associates</t>
  </si>
  <si>
    <t>RECURRING OPERATING PROFIT</t>
  </si>
  <si>
    <t>Other operating income less expenses</t>
  </si>
  <si>
    <t>OPERATING PROFIT</t>
  </si>
  <si>
    <t>Cost of net financial debt</t>
  </si>
  <si>
    <t>Interest on lease liabilities</t>
  </si>
  <si>
    <t>Other financial income less expenses</t>
  </si>
  <si>
    <t>PROFIT BEFORE TAX</t>
  </si>
  <si>
    <t>Income taxes</t>
  </si>
  <si>
    <t>NET PROFIT</t>
  </si>
  <si>
    <t>Of which:</t>
  </si>
  <si>
    <t>Profit attributable to minority interests</t>
  </si>
  <si>
    <t>Profit attributable to LVMH shareholders (group part)</t>
  </si>
  <si>
    <t>CONSOLIDATED BALANCE SHEET LVMH</t>
  </si>
  <si>
    <t>Δ 2023–2022 (€)</t>
  </si>
  <si>
    <t>NON-CURRENT ASSETS</t>
  </si>
  <si>
    <t>Brands and other intangible assets</t>
  </si>
  <si>
    <t>Goodwill</t>
  </si>
  <si>
    <t>Property, Plant &amp; Equipment</t>
  </si>
  <si>
    <t>Right-of-use assets</t>
  </si>
  <si>
    <t>Other non-current assets</t>
  </si>
  <si>
    <t>Total non-current assets</t>
  </si>
  <si>
    <t>CURRENT ASSETS</t>
  </si>
  <si>
    <t>Inventories and WIP</t>
  </si>
  <si>
    <t>Trade receivables</t>
  </si>
  <si>
    <t>Other current assets</t>
  </si>
  <si>
    <t>Cash &amp; cash equivalents</t>
  </si>
  <si>
    <t>Total current assets</t>
  </si>
  <si>
    <t>TOTAL ASSETS</t>
  </si>
  <si>
    <t>EQUITY</t>
  </si>
  <si>
    <t>Share capital (including additional paid-in capital)</t>
  </si>
  <si>
    <t>Treasury shares</t>
  </si>
  <si>
    <t>CTA and revaluation reserves</t>
  </si>
  <si>
    <t>Retained earnings (excluding current year profit)</t>
  </si>
  <si>
    <t>Net profit (group part)</t>
  </si>
  <si>
    <t>Minority interests</t>
  </si>
  <si>
    <t>Total equity</t>
  </si>
  <si>
    <t>NON-CURRENT LIABILITIES</t>
  </si>
  <si>
    <t>Long-term borrowings</t>
  </si>
  <si>
    <t>Non-current lease liabilities</t>
  </si>
  <si>
    <t>Other non-current liabilities</t>
  </si>
  <si>
    <t>Purchase commitments for minority interests' shares</t>
  </si>
  <si>
    <t>Total non-current liabilities</t>
  </si>
  <si>
    <t>CURRENT LIABILITIES</t>
  </si>
  <si>
    <t>Short-term borrowings</t>
  </si>
  <si>
    <t>Current lease liabilities</t>
  </si>
  <si>
    <t>Trade payables</t>
  </si>
  <si>
    <t>Other current liabilities</t>
  </si>
  <si>
    <t>Total current liabilities</t>
  </si>
  <si>
    <t>TOTAL EQUITY AND LIABILITIES</t>
  </si>
  <si>
    <t>CONSOLIDATED STATEMENT OF CASH FLOWS  LVMH</t>
  </si>
  <si>
    <t>SUM over 3 years</t>
  </si>
  <si>
    <t>CASH POSITION JANUARY 1st</t>
  </si>
  <si>
    <t>OPERATING CASH FLOWS</t>
  </si>
  <si>
    <t>Operating profit</t>
  </si>
  <si>
    <t>Depreciation, Amortization and Provisions</t>
  </si>
  <si>
    <t>Interest paid (net financial debt and leases)</t>
  </si>
  <si>
    <t>Tax paid</t>
  </si>
  <si>
    <t>Other operating cash flows</t>
  </si>
  <si>
    <t>Change in working capital requirements</t>
  </si>
  <si>
    <t>Total operating cash flows</t>
  </si>
  <si>
    <t>INVESTING CASH FLOWS</t>
  </si>
  <si>
    <t>Operating investments</t>
  </si>
  <si>
    <t>Acquisitions (net of proceeds from sale)</t>
  </si>
  <si>
    <t>Other</t>
  </si>
  <si>
    <t>Total investing cash flows</t>
  </si>
  <si>
    <t>FINANCING CASH FLOWS</t>
  </si>
  <si>
    <t>Dividends paid</t>
  </si>
  <si>
    <t>Net increase (decrease) of borrowings</t>
  </si>
  <si>
    <t>Repayment of lease liabilities</t>
  </si>
  <si>
    <t>Total financing cash flows</t>
  </si>
  <si>
    <t>Exchange rate effect and other</t>
  </si>
  <si>
    <t>TOTAL CASH FLOWS</t>
  </si>
  <si>
    <t>CASH POSITION DECEMBER 31st</t>
  </si>
  <si>
    <t>SIMPLIFIED BALANCE SHEET LVMH</t>
  </si>
  <si>
    <t>Use of funds (in €M)</t>
  </si>
  <si>
    <t>Sources of funds (in €M)</t>
  </si>
  <si>
    <t>WORKING CAPITAL REQUIREMENT</t>
  </si>
  <si>
    <t>LIABILITIES</t>
  </si>
  <si>
    <t>Working capital requirement</t>
  </si>
  <si>
    <t>Total liabilities</t>
  </si>
  <si>
    <t>CASH &amp; CASH EQUIVALENTS</t>
  </si>
  <si>
    <t>SHORT-TERM BORROWINGS</t>
  </si>
  <si>
    <t>Total use of funds</t>
  </si>
  <si>
    <t>Total sources of funds</t>
  </si>
  <si>
    <t>RATIOS and KPIs</t>
  </si>
  <si>
    <t>LVMH</t>
  </si>
  <si>
    <t>KERING</t>
  </si>
  <si>
    <t>RICHEMONT</t>
  </si>
  <si>
    <t>(your calculation)</t>
  </si>
  <si>
    <t>(Capital IQ)</t>
  </si>
  <si>
    <t>1/ Growth:</t>
  </si>
  <si>
    <t>Sales revenue growth</t>
  </si>
  <si>
    <t>2/ Profitability:</t>
  </si>
  <si>
    <t>Gross margin</t>
  </si>
  <si>
    <t>EBITDA in M€</t>
  </si>
  <si>
    <t>EBITDA margin</t>
  </si>
  <si>
    <t>Operating margin</t>
  </si>
  <si>
    <t>Net margin</t>
  </si>
  <si>
    <t>3/ Cash generation:</t>
  </si>
  <si>
    <t>Self-financing capacity in M€</t>
  </si>
  <si>
    <t>Self-financing capacity as a % of revenue</t>
  </si>
  <si>
    <t>Free cash flows in M€</t>
  </si>
  <si>
    <t>Free cash flows as a % of revenue</t>
  </si>
  <si>
    <t>4/ Return:</t>
  </si>
  <si>
    <t>Return on Equity (ROE)</t>
  </si>
  <si>
    <t>Assets turnover</t>
  </si>
  <si>
    <t>Return on Capital Employed (ROCE)</t>
  </si>
  <si>
    <t>5/ Capital structure:</t>
  </si>
  <si>
    <t>Net debt in M€</t>
  </si>
  <si>
    <t>Net debt to equity</t>
  </si>
  <si>
    <t>NA</t>
  </si>
  <si>
    <t>Total debt in M€</t>
  </si>
  <si>
    <t>Total debt to equity</t>
  </si>
  <si>
    <t>Debt horizon</t>
  </si>
  <si>
    <t>Interest coverage</t>
  </si>
  <si>
    <t>6/ Liquidity:</t>
  </si>
  <si>
    <t>Current ratio</t>
  </si>
  <si>
    <t>Acid test (also called Quick ratio)</t>
  </si>
  <si>
    <t>Net cash in M€</t>
  </si>
  <si>
    <t>7/ Working capital management:</t>
  </si>
  <si>
    <t>DSO (Trade receivable in days of sales)</t>
  </si>
  <si>
    <t>DIO (Inventory in days of Cost of sales)</t>
  </si>
  <si>
    <t>LVMH operates in 6 different business sectors: wines and spirits, fashion and leather goods, perfumes and cosmetics, watches and jewelry, selective retailing and other (luxury yachts, luxury hotels, media).</t>
  </si>
  <si>
    <t>Kering operates in 4 different business sectors: fashion and leather goods, perfumes and cosmetics, watches and jewelry and other (eyewear).</t>
  </si>
  <si>
    <t>Compagnie financière Richemont operates in 3 different business sectors: fashion and leather goods, watches and jewelry and other (apparel and footwear, writing instruments, guns and rifles).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</si>
</sst>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\ &quot;€&quot;_-;\-* #,##0.00\ &quot;€&quot;_-;_-* &quot;-&quot;??\ &quot;€&quot;_-;_-@"/>
    <numFmt numFmtId="165" formatCode="0.0%"/>
    <numFmt numFmtId="166" formatCode="0.0"/>
  </numFmts>
  <fonts count="16">
    <font>
      <sz val="11.0"/>
      <color theme="1"/>
      <name val="Calibri"/>
      <scheme val="minor"/>
    </font>
    <font>
      <b/>
      <sz val="14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sz val="11.0"/>
      <color rgb="FF000000"/>
      <name val="Calibri"/>
    </font>
    <font/>
    <font>
      <b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color theme="1"/>
      <name val="Calibri"/>
      <scheme val="minor"/>
    </font>
    <font>
      <u/>
      <sz val="11.0"/>
      <color theme="1"/>
      <name val="Calibri"/>
    </font>
    <font>
      <u/>
      <sz val="11.0"/>
      <color theme="1"/>
      <name val="Calibri"/>
    </font>
    <font>
      <b/>
      <sz val="16.0"/>
      <color theme="1"/>
      <name val="Calibri"/>
    </font>
    <font>
      <u/>
      <sz val="11.0"/>
      <color theme="1"/>
      <name val="Calibri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5" numFmtId="0" xfId="0" applyAlignment="1" applyBorder="1" applyFont="1">
      <alignment readingOrder="0" shrinkToFit="0" vertical="bottom" wrapText="0"/>
    </xf>
    <xf borderId="2" fillId="0" fontId="6" numFmtId="0" xfId="0" applyBorder="1" applyFont="1"/>
    <xf borderId="2" fillId="0" fontId="5" numFmtId="0" xfId="0" applyAlignment="1" applyBorder="1" applyFont="1">
      <alignment horizontal="center" readingOrder="0"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7" numFmtId="0" xfId="0" applyFont="1"/>
    <xf borderId="4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0" fillId="0" fontId="7" numFmtId="9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7" numFmtId="165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4" fillId="0" fontId="2" numFmtId="0" xfId="0" applyAlignment="1" applyBorder="1" applyFont="1">
      <alignment shrinkToFit="0" vertical="bottom" wrapText="0"/>
    </xf>
    <xf borderId="0" fillId="0" fontId="3" numFmtId="9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5" fillId="0" fontId="2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vertical="bottom"/>
    </xf>
    <xf borderId="7" fillId="0" fontId="2" numFmtId="0" xfId="0" applyAlignment="1" applyBorder="1" applyFont="1">
      <alignment readingOrder="0" shrinkToFit="0" vertical="bottom" wrapText="0"/>
    </xf>
    <xf borderId="8" fillId="0" fontId="6" numFmtId="0" xfId="0" applyBorder="1" applyFont="1"/>
    <xf borderId="9" fillId="0" fontId="2" numFmtId="0" xfId="0" applyAlignment="1" applyBorder="1" applyFont="1">
      <alignment horizontal="center" readingOrder="0" shrinkToFit="0" vertical="bottom" wrapText="0"/>
    </xf>
    <xf borderId="8" fillId="0" fontId="2" numFmtId="0" xfId="0" applyAlignment="1" applyBorder="1" applyFont="1">
      <alignment horizontal="center" readingOrder="0" shrinkToFit="0" vertical="bottom" wrapText="0"/>
    </xf>
    <xf borderId="0" fillId="0" fontId="3" numFmtId="10" xfId="0" applyAlignment="1" applyFont="1" applyNumberFormat="1">
      <alignment horizontal="right" vertical="bottom"/>
    </xf>
    <xf borderId="0" fillId="0" fontId="2" numFmtId="10" xfId="0" applyAlignment="1" applyFont="1" applyNumberFormat="1">
      <alignment shrinkToFit="0" vertical="bottom" wrapText="0"/>
    </xf>
    <xf borderId="10" fillId="0" fontId="5" numFmtId="0" xfId="0" applyAlignment="1" applyBorder="1" applyFont="1">
      <alignment readingOrder="0" shrinkToFit="0" vertical="bottom" wrapText="0"/>
    </xf>
    <xf borderId="11" fillId="0" fontId="6" numFmtId="0" xfId="0" applyBorder="1" applyFont="1"/>
    <xf borderId="8" fillId="0" fontId="5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2" fillId="0" fontId="7" numFmtId="0" xfId="0" applyBorder="1" applyFont="1"/>
    <xf borderId="13" fillId="0" fontId="7" numFmtId="0" xfId="0" applyBorder="1" applyFont="1"/>
    <xf borderId="14" fillId="0" fontId="7" numFmtId="0" xfId="0" applyAlignment="1" applyBorder="1" applyFont="1">
      <alignment horizontal="center"/>
    </xf>
    <xf borderId="15" fillId="0" fontId="7" numFmtId="0" xfId="0" applyAlignment="1" applyBorder="1" applyFont="1">
      <alignment horizontal="center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16" fillId="0" fontId="3" numFmtId="0" xfId="0" applyBorder="1" applyFont="1"/>
    <xf borderId="5" fillId="0" fontId="3" numFmtId="0" xfId="0" applyBorder="1" applyFont="1"/>
    <xf borderId="6" fillId="0" fontId="3" numFmtId="0" xfId="0" applyAlignment="1" applyBorder="1" applyFont="1">
      <alignment horizontal="center"/>
    </xf>
    <xf borderId="17" fillId="0" fontId="3" numFmtId="0" xfId="0" applyAlignment="1" applyBorder="1" applyFont="1">
      <alignment horizontal="center"/>
    </xf>
    <xf borderId="0" fillId="0" fontId="3" numFmtId="9" xfId="0" applyAlignment="1" applyFont="1" applyNumberFormat="1">
      <alignment vertical="bottom"/>
    </xf>
    <xf borderId="6" fillId="0" fontId="8" numFmtId="0" xfId="0" applyAlignment="1" applyBorder="1" applyFont="1">
      <alignment horizontal="center"/>
    </xf>
    <xf borderId="17" fillId="0" fontId="9" numFmtId="0" xfId="0" applyAlignment="1" applyBorder="1" applyFont="1">
      <alignment horizontal="center"/>
    </xf>
    <xf borderId="5" fillId="0" fontId="7" numFmtId="0" xfId="0" applyBorder="1" applyFont="1"/>
    <xf borderId="6" fillId="0" fontId="7" numFmtId="0" xfId="0" applyAlignment="1" applyBorder="1" applyFont="1">
      <alignment horizontal="center"/>
    </xf>
    <xf borderId="17" fillId="0" fontId="7" numFmtId="0" xfId="0" applyAlignment="1" applyBorder="1" applyFont="1">
      <alignment horizontal="center"/>
    </xf>
    <xf borderId="16" fillId="0" fontId="7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Alignment="1" applyBorder="1" applyFont="1">
      <alignment horizontal="center"/>
    </xf>
    <xf borderId="21" fillId="0" fontId="3" numFmtId="0" xfId="0" applyAlignment="1" applyBorder="1" applyFont="1">
      <alignment horizontal="center"/>
    </xf>
    <xf borderId="0" fillId="0" fontId="10" numFmtId="0" xfId="0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Alignment="1" applyBorder="1" applyFont="1">
      <alignment horizontal="center"/>
    </xf>
    <xf borderId="4" fillId="0" fontId="3" numFmtId="0" xfId="0" applyBorder="1" applyFont="1"/>
    <xf borderId="0" fillId="0" fontId="11" numFmtId="0" xfId="0" applyFont="1"/>
    <xf borderId="22" fillId="0" fontId="3" numFmtId="0" xfId="0" applyBorder="1" applyFont="1"/>
    <xf borderId="23" fillId="0" fontId="7" numFmtId="0" xfId="0" applyBorder="1" applyFont="1"/>
    <xf borderId="24" fillId="0" fontId="7" numFmtId="0" xfId="0" applyAlignment="1" applyBorder="1" applyFont="1">
      <alignment horizontal="center"/>
    </xf>
    <xf borderId="22" fillId="0" fontId="7" numFmtId="0" xfId="0" applyAlignment="1" applyBorder="1" applyFont="1">
      <alignment horizontal="center"/>
    </xf>
    <xf borderId="8" fillId="0" fontId="7" numFmtId="0" xfId="0" applyBorder="1" applyFont="1"/>
    <xf borderId="9" fillId="0" fontId="7" numFmtId="0" xfId="0" applyAlignment="1" applyBorder="1" applyFont="1">
      <alignment horizontal="center"/>
    </xf>
    <xf borderId="25" fillId="0" fontId="3" numFmtId="0" xfId="0" applyBorder="1" applyFont="1"/>
    <xf borderId="26" fillId="0" fontId="7" numFmtId="0" xfId="0" applyAlignment="1" applyBorder="1" applyFont="1">
      <alignment horizontal="center"/>
    </xf>
    <xf borderId="27" fillId="0" fontId="7" numFmtId="0" xfId="0" applyBorder="1" applyFont="1"/>
    <xf borderId="28" fillId="0" fontId="7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29" fillId="0" fontId="4" numFmtId="0" xfId="0" applyAlignment="1" applyBorder="1" applyFont="1">
      <alignment horizontal="center"/>
    </xf>
    <xf borderId="30" fillId="0" fontId="6" numFmtId="0" xfId="0" applyBorder="1" applyFont="1"/>
    <xf borderId="31" fillId="0" fontId="6" numFmtId="0" xfId="0" applyBorder="1" applyFont="1"/>
    <xf borderId="30" fillId="0" fontId="4" numFmtId="0" xfId="0" applyAlignment="1" applyBorder="1" applyFont="1">
      <alignment horizontal="center"/>
    </xf>
    <xf borderId="32" fillId="0" fontId="7" numFmtId="0" xfId="0" applyAlignment="1" applyBorder="1" applyFont="1">
      <alignment horizontal="center"/>
    </xf>
    <xf borderId="12" fillId="0" fontId="3" numFmtId="0" xfId="0" applyBorder="1" applyFont="1"/>
    <xf borderId="3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33" fillId="0" fontId="7" numFmtId="0" xfId="0" applyAlignment="1" applyBorder="1" applyFont="1">
      <alignment horizontal="center"/>
    </xf>
    <xf borderId="16" fillId="0" fontId="3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6" fillId="0" fontId="10" numFmtId="0" xfId="0" applyAlignment="1" applyBorder="1" applyFont="1">
      <alignment horizontal="center"/>
    </xf>
    <xf borderId="5" fillId="0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6" fillId="0" fontId="10" numFmtId="0" xfId="0" applyBorder="1" applyFont="1"/>
    <xf borderId="4" fillId="0" fontId="10" numFmtId="0" xfId="0" applyBorder="1" applyFont="1"/>
    <xf borderId="0" fillId="0" fontId="7" numFmtId="0" xfId="0" applyAlignment="1" applyFont="1">
      <alignment readingOrder="0"/>
    </xf>
    <xf borderId="34" fillId="2" fontId="7" numFmtId="0" xfId="0" applyBorder="1" applyFill="1" applyFont="1"/>
    <xf borderId="35" fillId="2" fontId="3" numFmtId="0" xfId="0" applyBorder="1" applyFont="1"/>
    <xf borderId="36" fillId="2" fontId="7" numFmtId="0" xfId="0" applyAlignment="1" applyBorder="1" applyFont="1">
      <alignment horizontal="center"/>
    </xf>
    <xf borderId="37" fillId="2" fontId="7" numFmtId="0" xfId="0" applyAlignment="1" applyBorder="1" applyFont="1">
      <alignment horizontal="center"/>
    </xf>
    <xf borderId="35" fillId="2" fontId="7" numFmtId="0" xfId="0" applyBorder="1" applyFont="1"/>
    <xf borderId="0" fillId="0" fontId="13" numFmtId="0" xfId="0" applyFont="1"/>
    <xf borderId="38" fillId="0" fontId="3" numFmtId="0" xfId="0" applyAlignment="1" applyBorder="1" applyFont="1">
      <alignment horizontal="center"/>
    </xf>
    <xf borderId="38" fillId="0" fontId="6" numFmtId="0" xfId="0" applyBorder="1" applyFont="1"/>
    <xf borderId="12" fillId="0" fontId="14" numFmtId="0" xfId="0" applyBorder="1" applyFont="1"/>
    <xf borderId="12" fillId="0" fontId="7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39" fillId="0" fontId="3" numFmtId="165" xfId="0" applyAlignment="1" applyBorder="1" applyFont="1" applyNumberFormat="1">
      <alignment horizontal="center"/>
    </xf>
    <xf borderId="21" fillId="0" fontId="3" numFmtId="165" xfId="0" applyAlignment="1" applyBorder="1" applyFont="1" applyNumberFormat="1">
      <alignment horizontal="center"/>
    </xf>
    <xf borderId="18" fillId="0" fontId="3" numFmtId="165" xfId="0" applyAlignment="1" applyBorder="1" applyFont="1" applyNumberFormat="1">
      <alignment horizontal="center"/>
    </xf>
    <xf borderId="4" fillId="0" fontId="3" numFmtId="165" xfId="0" applyAlignment="1" applyBorder="1" applyFont="1" applyNumberFormat="1">
      <alignment horizontal="center"/>
    </xf>
    <xf borderId="17" fillId="0" fontId="3" numFmtId="165" xfId="0" applyAlignment="1" applyBorder="1" applyFont="1" applyNumberFormat="1">
      <alignment horizontal="center"/>
    </xf>
    <xf borderId="16" fillId="0" fontId="3" numFmtId="165" xfId="0" applyAlignment="1" applyBorder="1" applyFont="1" applyNumberFormat="1">
      <alignment horizontal="center"/>
    </xf>
    <xf borderId="16" fillId="0" fontId="3" numFmtId="10" xfId="0" applyAlignment="1" applyBorder="1" applyFont="1" applyNumberFormat="1">
      <alignment horizontal="center"/>
    </xf>
    <xf borderId="17" fillId="0" fontId="3" numFmtId="10" xfId="0" applyAlignment="1" applyBorder="1" applyFont="1" applyNumberFormat="1">
      <alignment horizontal="center"/>
    </xf>
    <xf borderId="4" fillId="0" fontId="3" numFmtId="2" xfId="0" applyAlignment="1" applyBorder="1" applyFont="1" applyNumberFormat="1">
      <alignment horizontal="center"/>
    </xf>
    <xf borderId="17" fillId="0" fontId="3" numFmtId="2" xfId="0" applyAlignment="1" applyBorder="1" applyFont="1" applyNumberFormat="1">
      <alignment horizontal="center"/>
    </xf>
    <xf borderId="16" fillId="0" fontId="3" numFmtId="2" xfId="0" applyAlignment="1" applyBorder="1" applyFont="1" applyNumberFormat="1">
      <alignment horizontal="center"/>
    </xf>
    <xf borderId="18" fillId="0" fontId="15" numFmtId="0" xfId="0" applyBorder="1" applyFont="1"/>
    <xf borderId="39" fillId="0" fontId="15" numFmtId="10" xfId="0" applyAlignment="1" applyBorder="1" applyFont="1" applyNumberFormat="1">
      <alignment horizontal="center"/>
    </xf>
    <xf borderId="21" fillId="0" fontId="15" numFmtId="10" xfId="0" applyAlignment="1" applyBorder="1" applyFont="1" applyNumberFormat="1">
      <alignment horizontal="center"/>
    </xf>
    <xf borderId="18" fillId="0" fontId="3" numFmtId="10" xfId="0" applyAlignment="1" applyBorder="1" applyFont="1" applyNumberFormat="1">
      <alignment horizontal="center"/>
    </xf>
    <xf borderId="21" fillId="0" fontId="3" numFmtId="10" xfId="0" applyAlignment="1" applyBorder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17" fillId="0" fontId="3" numFmtId="1" xfId="0" applyAlignment="1" applyBorder="1" applyFont="1" applyNumberFormat="1">
      <alignment horizontal="center"/>
    </xf>
    <xf borderId="4" fillId="0" fontId="3" numFmtId="4" xfId="0" applyAlignment="1" applyBorder="1" applyFont="1" applyNumberFormat="1">
      <alignment horizontal="center"/>
    </xf>
    <xf borderId="17" fillId="0" fontId="3" numFmtId="4" xfId="0" applyAlignment="1" applyBorder="1" applyFont="1" applyNumberFormat="1">
      <alignment horizontal="center"/>
    </xf>
    <xf borderId="0" fillId="0" fontId="3" numFmtId="4" xfId="0" applyAlignment="1" applyFont="1" applyNumberFormat="1">
      <alignment horizontal="center"/>
    </xf>
    <xf borderId="39" fillId="0" fontId="3" numFmtId="2" xfId="0" applyAlignment="1" applyBorder="1" applyFont="1" applyNumberFormat="1">
      <alignment horizontal="center"/>
    </xf>
    <xf borderId="21" fillId="0" fontId="3" numFmtId="2" xfId="0" applyAlignment="1" applyBorder="1" applyFont="1" applyNumberFormat="1">
      <alignment horizontal="center"/>
    </xf>
    <xf borderId="18" fillId="0" fontId="3" numFmtId="2" xfId="0" applyAlignment="1" applyBorder="1" applyFont="1" applyNumberFormat="1">
      <alignment horizontal="center"/>
    </xf>
    <xf borderId="18" fillId="0" fontId="3" numFmtId="0" xfId="0" applyAlignment="1" applyBorder="1" applyFont="1">
      <alignment horizontal="center"/>
    </xf>
    <xf borderId="16" fillId="0" fontId="3" numFmtId="166" xfId="0" applyAlignment="1" applyBorder="1" applyFont="1" applyNumberFormat="1">
      <alignment horizontal="center"/>
    </xf>
    <xf borderId="17" fillId="0" fontId="3" numFmtId="166" xfId="0" applyAlignment="1" applyBorder="1" applyFont="1" applyNumberFormat="1">
      <alignment horizontal="center"/>
    </xf>
    <xf borderId="6" fillId="0" fontId="3" numFmtId="4" xfId="0" applyAlignment="1" applyBorder="1" applyFont="1" applyNumberFormat="1">
      <alignment horizontal="center"/>
    </xf>
    <xf borderId="33" fillId="0" fontId="3" numFmtId="4" xfId="0" applyAlignment="1" applyBorder="1" applyFont="1" applyNumberFormat="1">
      <alignment horizontal="center"/>
    </xf>
    <xf borderId="39" fillId="0" fontId="3" numFmtId="0" xfId="0" applyAlignment="1" applyBorder="1" applyFont="1">
      <alignment horizontal="center"/>
    </xf>
    <xf borderId="4" fillId="0" fontId="3" numFmtId="166" xfId="0" applyAlignment="1" applyBorder="1" applyFont="1" applyNumberFormat="1">
      <alignment horizontal="center"/>
    </xf>
    <xf borderId="39" fillId="0" fontId="3" numFmtId="166" xfId="0" applyAlignment="1" applyBorder="1" applyFont="1" applyNumberFormat="1">
      <alignment horizontal="center"/>
    </xf>
    <xf borderId="21" fillId="0" fontId="3" numFmtId="166" xfId="0" applyAlignment="1" applyBorder="1" applyFont="1" applyNumberFormat="1">
      <alignment horizontal="center"/>
    </xf>
    <xf borderId="18" fillId="0" fontId="3" numFmtId="16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49.43"/>
    <col customWidth="1" min="3" max="5" width="8.14"/>
    <col customWidth="1" min="6" max="6" width="10.43"/>
    <col customWidth="1" min="7" max="7" width="17.43"/>
    <col customWidth="1" min="8" max="8" width="17.57"/>
    <col customWidth="1" min="9" max="9" width="17.29"/>
    <col customWidth="1" min="10" max="10" width="11.43"/>
    <col customWidth="1" min="11" max="11" width="17.29"/>
    <col customWidth="1" min="12" max="12" width="16.14"/>
    <col customWidth="1" min="13" max="13" width="11.43"/>
    <col customWidth="1" min="14" max="15" width="16.14"/>
    <col customWidth="1" min="16" max="26" width="11.43"/>
  </cols>
  <sheetData>
    <row r="1" ht="18.0" customHeight="1">
      <c r="A1" s="1" t="s">
        <v>0</v>
      </c>
      <c r="C1" s="2"/>
      <c r="D1" s="2"/>
      <c r="E1" s="2"/>
      <c r="F1" s="3"/>
      <c r="G1" s="4"/>
      <c r="H1" s="5" t="s">
        <v>1</v>
      </c>
      <c r="I1" s="6"/>
      <c r="J1" s="4"/>
      <c r="K1" s="4"/>
      <c r="L1" s="4"/>
      <c r="M1" s="5" t="s">
        <v>2</v>
      </c>
      <c r="N1" s="6"/>
      <c r="O1" s="4"/>
      <c r="P1" s="3"/>
      <c r="Q1" s="3"/>
    </row>
    <row r="2" ht="15.0" customHeight="1">
      <c r="A2" s="3"/>
      <c r="B2" s="3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3"/>
      <c r="Q2" s="3"/>
    </row>
    <row r="3">
      <c r="A3" s="7" t="s">
        <v>3</v>
      </c>
      <c r="B3" s="8"/>
      <c r="C3" s="9">
        <v>2024.0</v>
      </c>
      <c r="D3" s="9">
        <v>2023.0</v>
      </c>
      <c r="E3" s="10">
        <v>2022.0</v>
      </c>
      <c r="F3" s="11"/>
      <c r="G3" s="12" t="s">
        <v>4</v>
      </c>
      <c r="H3" s="12" t="s">
        <v>5</v>
      </c>
      <c r="I3" s="12" t="s">
        <v>6</v>
      </c>
      <c r="J3" s="4"/>
      <c r="K3" s="12" t="s">
        <v>7</v>
      </c>
      <c r="L3" s="12" t="s">
        <v>8</v>
      </c>
      <c r="M3" s="4"/>
      <c r="N3" s="12" t="s">
        <v>9</v>
      </c>
      <c r="O3" s="12" t="s">
        <v>10</v>
      </c>
      <c r="P3" s="11"/>
      <c r="Q3" s="11"/>
      <c r="R3" s="13"/>
      <c r="S3" s="13"/>
      <c r="T3" s="13"/>
      <c r="U3" s="13"/>
      <c r="V3" s="13"/>
      <c r="W3" s="13"/>
      <c r="X3" s="13"/>
      <c r="Y3" s="13"/>
      <c r="Z3" s="13"/>
    </row>
    <row r="4">
      <c r="A4" s="14"/>
      <c r="B4" s="15"/>
      <c r="C4" s="16"/>
      <c r="D4" s="16"/>
      <c r="E4" s="17"/>
      <c r="F4" s="11"/>
      <c r="G4" s="4"/>
      <c r="H4" s="4"/>
      <c r="I4" s="4"/>
      <c r="J4" s="4"/>
      <c r="K4" s="4"/>
      <c r="L4" s="4"/>
      <c r="M4" s="4"/>
      <c r="N4" s="4"/>
      <c r="O4" s="4"/>
      <c r="P4" s="11"/>
      <c r="Q4" s="11"/>
      <c r="R4" s="13"/>
      <c r="S4" s="13"/>
      <c r="T4" s="13"/>
      <c r="U4" s="13"/>
      <c r="V4" s="13"/>
      <c r="W4" s="13"/>
      <c r="X4" s="13"/>
      <c r="Y4" s="13"/>
      <c r="Z4" s="13"/>
    </row>
    <row r="5">
      <c r="A5" s="14"/>
      <c r="B5" s="18" t="s">
        <v>11</v>
      </c>
      <c r="C5" s="19">
        <v>84683.0</v>
      </c>
      <c r="D5" s="19">
        <v>86153.0</v>
      </c>
      <c r="E5" s="20">
        <v>79184.0</v>
      </c>
      <c r="F5" s="11"/>
      <c r="G5" s="21">
        <v>1.0</v>
      </c>
      <c r="H5" s="21">
        <v>1.0</v>
      </c>
      <c r="I5" s="21">
        <v>1.0</v>
      </c>
      <c r="J5" s="4"/>
      <c r="K5" s="22">
        <f t="shared" ref="K5:K6" si="2">C5-D5</f>
        <v>-1470</v>
      </c>
      <c r="L5" s="23">
        <f t="shared" ref="L5:L6" si="3">(C5-D5)/D5</f>
        <v>-0.01706266758</v>
      </c>
      <c r="M5" s="24"/>
      <c r="N5" s="22">
        <f t="shared" ref="N5:N6" si="4">D5-E5</f>
        <v>6969</v>
      </c>
      <c r="O5" s="23">
        <f t="shared" ref="O5:O6" si="5">(D5-E5)/E5</f>
        <v>0.08801020408</v>
      </c>
      <c r="P5" s="11"/>
      <c r="Q5" s="11"/>
      <c r="R5" s="13"/>
      <c r="S5" s="13"/>
      <c r="T5" s="13"/>
      <c r="U5" s="13"/>
      <c r="V5" s="13"/>
      <c r="W5" s="13"/>
      <c r="X5" s="13"/>
      <c r="Y5" s="13"/>
      <c r="Z5" s="13"/>
    </row>
    <row r="6">
      <c r="A6" s="25"/>
      <c r="B6" s="18" t="s">
        <v>12</v>
      </c>
      <c r="C6" s="19">
        <v>-27918.0</v>
      </c>
      <c r="D6" s="19">
        <v>-26876.0</v>
      </c>
      <c r="E6" s="20">
        <v>-24988.0</v>
      </c>
      <c r="F6" s="3"/>
      <c r="G6" s="26">
        <f t="shared" ref="G6:I6" si="1">(C6/C5)</f>
        <v>-0.3296765585</v>
      </c>
      <c r="H6" s="27">
        <f t="shared" si="1"/>
        <v>-0.3119566353</v>
      </c>
      <c r="I6" s="27">
        <f t="shared" si="1"/>
        <v>-0.3155688018</v>
      </c>
      <c r="J6" s="4"/>
      <c r="K6" s="28">
        <f t="shared" si="2"/>
        <v>-1042</v>
      </c>
      <c r="L6" s="27">
        <f t="shared" si="3"/>
        <v>0.03877065039</v>
      </c>
      <c r="M6" s="4"/>
      <c r="N6" s="28">
        <f t="shared" si="4"/>
        <v>-1888</v>
      </c>
      <c r="O6" s="27">
        <f t="shared" si="5"/>
        <v>0.07555626701</v>
      </c>
      <c r="P6" s="3"/>
      <c r="Q6" s="3"/>
    </row>
    <row r="7">
      <c r="A7" s="25"/>
      <c r="B7" s="29"/>
      <c r="C7" s="16"/>
      <c r="D7" s="16"/>
      <c r="E7" s="17"/>
      <c r="F7" s="3"/>
      <c r="G7" s="4"/>
      <c r="H7" s="4"/>
      <c r="I7" s="4"/>
      <c r="J7" s="4"/>
      <c r="K7" s="24"/>
      <c r="L7" s="30"/>
      <c r="M7" s="4"/>
      <c r="N7" s="24"/>
      <c r="O7" s="30"/>
      <c r="P7" s="3"/>
      <c r="Q7" s="3"/>
    </row>
    <row r="8">
      <c r="A8" s="31" t="s">
        <v>13</v>
      </c>
      <c r="B8" s="32"/>
      <c r="C8" s="33">
        <v>56765.0</v>
      </c>
      <c r="D8" s="33">
        <v>59277.0</v>
      </c>
      <c r="E8" s="34">
        <v>54196.0</v>
      </c>
      <c r="F8" s="3"/>
      <c r="G8" s="23">
        <f t="shared" ref="G8:I8" si="6">C8/C5</f>
        <v>0.6703234415</v>
      </c>
      <c r="H8" s="23">
        <f t="shared" si="6"/>
        <v>0.6880433647</v>
      </c>
      <c r="I8" s="23">
        <f t="shared" si="6"/>
        <v>0.6844311982</v>
      </c>
      <c r="J8" s="4"/>
      <c r="K8" s="22">
        <f>C8-D8</f>
        <v>-2512</v>
      </c>
      <c r="L8" s="23">
        <f>(C8-D8)/D8</f>
        <v>-0.04237731329</v>
      </c>
      <c r="M8" s="4"/>
      <c r="N8" s="22">
        <f>D8-E8</f>
        <v>5081</v>
      </c>
      <c r="O8" s="23">
        <f>(D8-E8)/E8</f>
        <v>0.09375230644</v>
      </c>
      <c r="P8" s="3"/>
      <c r="Q8" s="3"/>
    </row>
    <row r="9">
      <c r="A9" s="25"/>
      <c r="B9" s="29"/>
      <c r="C9" s="16"/>
      <c r="D9" s="16"/>
      <c r="E9" s="17"/>
      <c r="F9" s="3"/>
      <c r="G9" s="4"/>
      <c r="H9" s="4"/>
      <c r="I9" s="4"/>
      <c r="J9" s="4"/>
      <c r="K9" s="24"/>
      <c r="L9" s="30"/>
      <c r="M9" s="4"/>
      <c r="N9" s="24"/>
      <c r="O9" s="30"/>
      <c r="P9" s="3"/>
      <c r="Q9" s="3"/>
    </row>
    <row r="10">
      <c r="A10" s="25"/>
      <c r="B10" s="18" t="s">
        <v>14</v>
      </c>
      <c r="C10" s="19">
        <v>-31002.0</v>
      </c>
      <c r="D10" s="19">
        <v>-30768.0</v>
      </c>
      <c r="E10" s="20">
        <v>-28151.0</v>
      </c>
      <c r="F10" s="3"/>
      <c r="G10" s="27">
        <f t="shared" ref="G10:G11" si="8">(C10/$C$5)</f>
        <v>-0.3660947298</v>
      </c>
      <c r="H10" s="27">
        <f t="shared" ref="H10:I10" si="7">(D10/D5)</f>
        <v>-0.357132079</v>
      </c>
      <c r="I10" s="27">
        <f t="shared" si="7"/>
        <v>-0.3555137401</v>
      </c>
      <c r="J10" s="4"/>
      <c r="K10" s="28">
        <f t="shared" ref="K10:K12" si="10">C10-D10</f>
        <v>-234</v>
      </c>
      <c r="L10" s="27">
        <f t="shared" ref="L10:L12" si="11">(C10-D10)/D10</f>
        <v>0.007605304212</v>
      </c>
      <c r="M10" s="4"/>
      <c r="N10" s="28">
        <f t="shared" ref="N10:N12" si="12">D10-E10</f>
        <v>-2617</v>
      </c>
      <c r="O10" s="27">
        <f t="shared" ref="O10:O12" si="13">(D10-E10)/E10</f>
        <v>0.09296294981</v>
      </c>
      <c r="P10" s="3"/>
      <c r="Q10" s="3"/>
    </row>
    <row r="11">
      <c r="A11" s="25"/>
      <c r="B11" s="18" t="s">
        <v>15</v>
      </c>
      <c r="C11" s="19">
        <v>-6220.0</v>
      </c>
      <c r="D11" s="19">
        <v>-5714.0</v>
      </c>
      <c r="E11" s="20">
        <v>-5027.0</v>
      </c>
      <c r="F11" s="3"/>
      <c r="G11" s="27">
        <f t="shared" si="8"/>
        <v>-0.07345039736</v>
      </c>
      <c r="H11" s="27">
        <f t="shared" ref="H11:I11" si="9">(D11/D5)</f>
        <v>-0.06632386568</v>
      </c>
      <c r="I11" s="27">
        <f t="shared" si="9"/>
        <v>-0.06348504748</v>
      </c>
      <c r="J11" s="4"/>
      <c r="K11" s="28">
        <f t="shared" si="10"/>
        <v>-506</v>
      </c>
      <c r="L11" s="27">
        <f t="shared" si="11"/>
        <v>0.08855442772</v>
      </c>
      <c r="M11" s="4"/>
      <c r="N11" s="28">
        <f t="shared" si="12"/>
        <v>-687</v>
      </c>
      <c r="O11" s="27">
        <f t="shared" si="13"/>
        <v>0.1366620251</v>
      </c>
      <c r="P11" s="3"/>
      <c r="Q11" s="3"/>
    </row>
    <row r="12">
      <c r="A12" s="25"/>
      <c r="B12" s="18" t="s">
        <v>16</v>
      </c>
      <c r="C12" s="19">
        <v>28.0</v>
      </c>
      <c r="D12" s="19">
        <v>7.0</v>
      </c>
      <c r="E12" s="20">
        <v>37.0</v>
      </c>
      <c r="F12" s="3"/>
      <c r="G12" s="35">
        <f t="shared" ref="G12:I12" si="14">(C12/C5)</f>
        <v>0.0003306448756</v>
      </c>
      <c r="H12" s="35">
        <f t="shared" si="14"/>
        <v>0.000081250798</v>
      </c>
      <c r="I12" s="35">
        <f t="shared" si="14"/>
        <v>0.0004672661144</v>
      </c>
      <c r="J12" s="4"/>
      <c r="K12" s="28">
        <f t="shared" si="10"/>
        <v>21</v>
      </c>
      <c r="L12" s="27">
        <f t="shared" si="11"/>
        <v>3</v>
      </c>
      <c r="M12" s="4"/>
      <c r="N12" s="28">
        <f t="shared" si="12"/>
        <v>-30</v>
      </c>
      <c r="O12" s="27">
        <f t="shared" si="13"/>
        <v>-0.8108108108</v>
      </c>
      <c r="P12" s="3"/>
      <c r="Q12" s="3"/>
    </row>
    <row r="13">
      <c r="A13" s="25"/>
      <c r="B13" s="29"/>
      <c r="C13" s="16"/>
      <c r="D13" s="16"/>
      <c r="E13" s="17"/>
      <c r="F13" s="3"/>
      <c r="G13" s="4"/>
      <c r="H13" s="4"/>
      <c r="I13" s="4"/>
      <c r="J13" s="4"/>
      <c r="K13" s="24"/>
      <c r="L13" s="30"/>
      <c r="M13" s="4"/>
      <c r="N13" s="24"/>
      <c r="O13" s="30"/>
      <c r="P13" s="3"/>
      <c r="Q13" s="3"/>
    </row>
    <row r="14">
      <c r="A14" s="31" t="s">
        <v>17</v>
      </c>
      <c r="B14" s="32"/>
      <c r="C14" s="33">
        <v>19571.0</v>
      </c>
      <c r="D14" s="33">
        <v>22802.0</v>
      </c>
      <c r="E14" s="34">
        <v>21055.0</v>
      </c>
      <c r="F14" s="3"/>
      <c r="G14" s="23">
        <f t="shared" ref="G14:I14" si="15">C14/C5</f>
        <v>0.2311089593</v>
      </c>
      <c r="H14" s="23">
        <f t="shared" si="15"/>
        <v>0.2646686709</v>
      </c>
      <c r="I14" s="23">
        <f t="shared" si="15"/>
        <v>0.2658996767</v>
      </c>
      <c r="J14" s="4"/>
      <c r="K14" s="22">
        <f>C14-D14</f>
        <v>-3231</v>
      </c>
      <c r="L14" s="23">
        <f>(C14-D14)/D14</f>
        <v>-0.1416980967</v>
      </c>
      <c r="M14" s="4"/>
      <c r="N14" s="22">
        <f>D14-E14</f>
        <v>1747</v>
      </c>
      <c r="O14" s="23">
        <f>(D14-E14)/E14</f>
        <v>0.08297316552</v>
      </c>
      <c r="P14" s="3"/>
      <c r="Q14" s="3"/>
    </row>
    <row r="15">
      <c r="A15" s="25"/>
      <c r="B15" s="29"/>
      <c r="C15" s="16"/>
      <c r="D15" s="16"/>
      <c r="E15" s="17"/>
      <c r="F15" s="3"/>
      <c r="G15" s="4"/>
      <c r="H15" s="4"/>
      <c r="I15" s="4"/>
      <c r="J15" s="4"/>
      <c r="K15" s="24"/>
      <c r="L15" s="30"/>
      <c r="M15" s="4"/>
      <c r="N15" s="24"/>
      <c r="O15" s="30"/>
      <c r="P15" s="3"/>
      <c r="Q15" s="3"/>
    </row>
    <row r="16">
      <c r="A16" s="25"/>
      <c r="B16" s="18" t="s">
        <v>18</v>
      </c>
      <c r="C16" s="19">
        <v>-664.0</v>
      </c>
      <c r="D16" s="19">
        <v>-242.0</v>
      </c>
      <c r="E16" s="20">
        <v>-54.0</v>
      </c>
      <c r="F16" s="3"/>
      <c r="G16" s="35">
        <f t="shared" ref="G16:I16" si="16">(C16/C5)</f>
        <v>-0.00784100705</v>
      </c>
      <c r="H16" s="35">
        <f t="shared" si="16"/>
        <v>-0.002808956159</v>
      </c>
      <c r="I16" s="35">
        <f t="shared" si="16"/>
        <v>-0.0006819559507</v>
      </c>
      <c r="J16" s="4"/>
      <c r="K16" s="28">
        <f>C16-D16</f>
        <v>-422</v>
      </c>
      <c r="L16" s="27">
        <f>(C16-D16)/D16</f>
        <v>1.743801653</v>
      </c>
      <c r="M16" s="4"/>
      <c r="N16" s="28">
        <f>D16-E16</f>
        <v>-188</v>
      </c>
      <c r="O16" s="27">
        <f>(D16-E16)/E16</f>
        <v>3.481481481</v>
      </c>
      <c r="P16" s="3"/>
      <c r="Q16" s="3"/>
    </row>
    <row r="17">
      <c r="A17" s="25"/>
      <c r="B17" s="29"/>
      <c r="C17" s="16"/>
      <c r="D17" s="16"/>
      <c r="E17" s="17"/>
      <c r="F17" s="3"/>
      <c r="G17" s="4"/>
      <c r="H17" s="4"/>
      <c r="I17" s="4"/>
      <c r="J17" s="4"/>
      <c r="K17" s="24"/>
      <c r="L17" s="30"/>
      <c r="M17" s="4"/>
      <c r="N17" s="24"/>
      <c r="O17" s="30"/>
      <c r="P17" s="3"/>
      <c r="Q17" s="3"/>
    </row>
    <row r="18">
      <c r="A18" s="31" t="s">
        <v>19</v>
      </c>
      <c r="B18" s="32"/>
      <c r="C18" s="33">
        <v>18907.0</v>
      </c>
      <c r="D18" s="33">
        <v>22560.0</v>
      </c>
      <c r="E18" s="34">
        <v>21001.0</v>
      </c>
      <c r="F18" s="3"/>
      <c r="G18" s="23">
        <f t="shared" ref="G18:I18" si="17">C18/C5</f>
        <v>0.2232679522</v>
      </c>
      <c r="H18" s="23">
        <f t="shared" si="17"/>
        <v>0.2618597147</v>
      </c>
      <c r="I18" s="23">
        <f t="shared" si="17"/>
        <v>0.2652177208</v>
      </c>
      <c r="J18" s="4"/>
      <c r="K18" s="22">
        <f>C18-D18</f>
        <v>-3653</v>
      </c>
      <c r="L18" s="23">
        <f>(C18-D18)/D18</f>
        <v>-0.1619237589</v>
      </c>
      <c r="M18" s="4"/>
      <c r="N18" s="22">
        <f>D18-E18</f>
        <v>1559</v>
      </c>
      <c r="O18" s="23">
        <f>(D18-E18)/E18</f>
        <v>0.07423456026</v>
      </c>
      <c r="P18" s="3"/>
      <c r="Q18" s="3"/>
    </row>
    <row r="19">
      <c r="A19" s="25"/>
      <c r="B19" s="29"/>
      <c r="C19" s="16"/>
      <c r="D19" s="16"/>
      <c r="E19" s="17"/>
      <c r="F19" s="3"/>
      <c r="G19" s="4"/>
      <c r="H19" s="4"/>
      <c r="I19" s="4"/>
      <c r="J19" s="4"/>
      <c r="K19" s="24"/>
      <c r="L19" s="30"/>
      <c r="M19" s="4"/>
      <c r="N19" s="24"/>
      <c r="O19" s="30"/>
      <c r="P19" s="3"/>
      <c r="Q19" s="3"/>
    </row>
    <row r="20">
      <c r="A20" s="25"/>
      <c r="B20" s="18" t="s">
        <v>20</v>
      </c>
      <c r="C20" s="19">
        <v>-442.0</v>
      </c>
      <c r="D20" s="19">
        <v>-367.0</v>
      </c>
      <c r="E20" s="20">
        <v>-17.0</v>
      </c>
      <c r="F20" s="3"/>
      <c r="G20" s="35">
        <f t="shared" ref="G20:I20" si="18">(C20/C5)</f>
        <v>-0.005219465536</v>
      </c>
      <c r="H20" s="35">
        <f t="shared" si="18"/>
        <v>-0.004259863267</v>
      </c>
      <c r="I20" s="35">
        <f t="shared" si="18"/>
        <v>-0.0002146898363</v>
      </c>
      <c r="J20" s="4"/>
      <c r="K20" s="28">
        <f t="shared" ref="K20:K22" si="20">C20-D20</f>
        <v>-75</v>
      </c>
      <c r="L20" s="27">
        <f t="shared" ref="L20:L22" si="21">(C20-D20)/D20</f>
        <v>0.204359673</v>
      </c>
      <c r="M20" s="4"/>
      <c r="N20" s="28">
        <f t="shared" ref="N20:N22" si="22">D20-E20</f>
        <v>-350</v>
      </c>
      <c r="O20" s="27">
        <f t="shared" ref="O20:O22" si="23">(D20-E20)/E20</f>
        <v>20.58823529</v>
      </c>
      <c r="P20" s="3"/>
      <c r="Q20" s="3"/>
    </row>
    <row r="21" ht="15.75" customHeight="1">
      <c r="A21" s="25"/>
      <c r="B21" s="18" t="s">
        <v>21</v>
      </c>
      <c r="C21" s="19">
        <v>-510.0</v>
      </c>
      <c r="D21" s="19">
        <v>-393.0</v>
      </c>
      <c r="E21" s="20">
        <v>-254.0</v>
      </c>
      <c r="F21" s="3"/>
      <c r="G21" s="35">
        <f t="shared" ref="G21:I21" si="19">(C21/C5)</f>
        <v>-0.006022460234</v>
      </c>
      <c r="H21" s="35">
        <f t="shared" si="19"/>
        <v>-0.004561651945</v>
      </c>
      <c r="I21" s="35">
        <f t="shared" si="19"/>
        <v>-0.003207718731</v>
      </c>
      <c r="J21" s="4"/>
      <c r="K21" s="28">
        <f t="shared" si="20"/>
        <v>-117</v>
      </c>
      <c r="L21" s="27">
        <f t="shared" si="21"/>
        <v>0.2977099237</v>
      </c>
      <c r="M21" s="4"/>
      <c r="N21" s="28">
        <f t="shared" si="22"/>
        <v>-139</v>
      </c>
      <c r="O21" s="27">
        <f t="shared" si="23"/>
        <v>0.5472440945</v>
      </c>
      <c r="P21" s="3"/>
      <c r="Q21" s="3"/>
    </row>
    <row r="22" ht="15.75" customHeight="1">
      <c r="A22" s="25"/>
      <c r="B22" s="18" t="s">
        <v>22</v>
      </c>
      <c r="C22" s="19">
        <v>160.0</v>
      </c>
      <c r="D22" s="19">
        <v>-175.0</v>
      </c>
      <c r="E22" s="20">
        <v>-617.0</v>
      </c>
      <c r="F22" s="3"/>
      <c r="G22" s="35">
        <f t="shared" ref="G22:I22" si="24">(C22/C5)</f>
        <v>0.001889399289</v>
      </c>
      <c r="H22" s="35">
        <f t="shared" si="24"/>
        <v>-0.00203126995</v>
      </c>
      <c r="I22" s="35">
        <f t="shared" si="24"/>
        <v>-0.007791978177</v>
      </c>
      <c r="J22" s="4"/>
      <c r="K22" s="28">
        <f t="shared" si="20"/>
        <v>335</v>
      </c>
      <c r="L22" s="27">
        <f t="shared" si="21"/>
        <v>-1.914285714</v>
      </c>
      <c r="M22" s="4"/>
      <c r="N22" s="28">
        <f t="shared" si="22"/>
        <v>442</v>
      </c>
      <c r="O22" s="27">
        <f t="shared" si="23"/>
        <v>-0.71636953</v>
      </c>
      <c r="P22" s="3"/>
      <c r="Q22" s="3"/>
    </row>
    <row r="23" ht="15.75" customHeight="1">
      <c r="A23" s="25"/>
      <c r="B23" s="29"/>
      <c r="C23" s="16"/>
      <c r="D23" s="16"/>
      <c r="E23" s="17"/>
      <c r="F23" s="3"/>
      <c r="G23" s="4"/>
      <c r="H23" s="4"/>
      <c r="I23" s="4"/>
      <c r="J23" s="4"/>
      <c r="K23" s="24"/>
      <c r="L23" s="30"/>
      <c r="M23" s="4"/>
      <c r="N23" s="24"/>
      <c r="O23" s="30"/>
      <c r="P23" s="3"/>
      <c r="Q23" s="3"/>
    </row>
    <row r="24" ht="15.75" customHeight="1">
      <c r="A24" s="31" t="s">
        <v>23</v>
      </c>
      <c r="B24" s="32"/>
      <c r="C24" s="33">
        <v>18115.0</v>
      </c>
      <c r="D24" s="33">
        <v>21625.0</v>
      </c>
      <c r="E24" s="34">
        <v>20113.0</v>
      </c>
      <c r="F24" s="3"/>
      <c r="G24" s="23">
        <f t="shared" ref="G24:I24" si="25">C24/C5</f>
        <v>0.2139154258</v>
      </c>
      <c r="H24" s="23">
        <f t="shared" si="25"/>
        <v>0.2510069295</v>
      </c>
      <c r="I24" s="23">
        <f t="shared" si="25"/>
        <v>0.254003334</v>
      </c>
      <c r="J24" s="4"/>
      <c r="K24" s="22">
        <f>C24-D24</f>
        <v>-3510</v>
      </c>
      <c r="L24" s="23">
        <f>(C24-D24)/D24</f>
        <v>-0.1623121387</v>
      </c>
      <c r="M24" s="4"/>
      <c r="N24" s="22">
        <f>D24-E24</f>
        <v>1512</v>
      </c>
      <c r="O24" s="23">
        <f>(D24-E24)/E24</f>
        <v>0.07517525978</v>
      </c>
      <c r="P24" s="3"/>
      <c r="Q24" s="3"/>
    </row>
    <row r="25" ht="15.75" customHeight="1">
      <c r="A25" s="25"/>
      <c r="B25" s="29"/>
      <c r="C25" s="16"/>
      <c r="D25" s="16"/>
      <c r="E25" s="17"/>
      <c r="F25" s="3"/>
      <c r="G25" s="4"/>
      <c r="H25" s="4"/>
      <c r="I25" s="4"/>
      <c r="J25" s="4"/>
      <c r="K25" s="24"/>
      <c r="L25" s="30"/>
      <c r="M25" s="4"/>
      <c r="N25" s="24"/>
      <c r="O25" s="30"/>
      <c r="P25" s="3"/>
      <c r="Q25" s="3"/>
    </row>
    <row r="26" ht="15.75" customHeight="1">
      <c r="A26" s="25"/>
      <c r="B26" s="18" t="s">
        <v>24</v>
      </c>
      <c r="C26" s="19">
        <v>-5157.0</v>
      </c>
      <c r="D26" s="19">
        <v>-5673.0</v>
      </c>
      <c r="E26" s="20">
        <v>-5362.0</v>
      </c>
      <c r="F26" s="36">
        <f>C26/C24</f>
        <v>-0.2846812034</v>
      </c>
      <c r="G26" s="27">
        <f t="shared" ref="G26:I26" si="26">(C26/C5)</f>
        <v>-0.06089770084</v>
      </c>
      <c r="H26" s="27">
        <f t="shared" si="26"/>
        <v>-0.06584796815</v>
      </c>
      <c r="I26" s="27">
        <f t="shared" si="26"/>
        <v>-0.06771570014</v>
      </c>
      <c r="J26" s="4"/>
      <c r="K26" s="28">
        <f>C26-D26</f>
        <v>516</v>
      </c>
      <c r="L26" s="27">
        <f>(C26-D26)/D26</f>
        <v>-0.09095716552</v>
      </c>
      <c r="M26" s="4"/>
      <c r="N26" s="28">
        <f>D26-E26</f>
        <v>-311</v>
      </c>
      <c r="O26" s="27">
        <f>(D26-E26)/E26</f>
        <v>0.05800074599</v>
      </c>
      <c r="P26" s="3"/>
      <c r="Q26" s="3"/>
    </row>
    <row r="27" ht="15.75" customHeight="1">
      <c r="A27" s="25"/>
      <c r="B27" s="29"/>
      <c r="C27" s="16"/>
      <c r="D27" s="16"/>
      <c r="E27" s="17"/>
      <c r="F27" s="3"/>
      <c r="G27" s="4"/>
      <c r="H27" s="4"/>
      <c r="I27" s="4"/>
      <c r="J27" s="4"/>
      <c r="K27" s="24"/>
      <c r="L27" s="30"/>
      <c r="M27" s="4"/>
      <c r="N27" s="24"/>
      <c r="O27" s="30"/>
      <c r="P27" s="3"/>
      <c r="Q27" s="3"/>
    </row>
    <row r="28" ht="15.0" customHeight="1">
      <c r="A28" s="37" t="s">
        <v>25</v>
      </c>
      <c r="B28" s="38"/>
      <c r="C28" s="39">
        <v>12958.0</v>
      </c>
      <c r="D28" s="39">
        <v>15952.0</v>
      </c>
      <c r="E28" s="39">
        <v>14751.0</v>
      </c>
      <c r="F28" s="3"/>
      <c r="G28" s="23">
        <f t="shared" ref="G28:I28" si="27">C28/C5</f>
        <v>0.1530177249</v>
      </c>
      <c r="H28" s="23">
        <f t="shared" si="27"/>
        <v>0.1851589614</v>
      </c>
      <c r="I28" s="23">
        <f t="shared" si="27"/>
        <v>0.1862876339</v>
      </c>
      <c r="J28" s="4"/>
      <c r="K28" s="22">
        <f>C28-D28</f>
        <v>-2994</v>
      </c>
      <c r="L28" s="23">
        <f>(C28-D28)/D28</f>
        <v>-0.1876880642</v>
      </c>
      <c r="M28" s="4"/>
      <c r="N28" s="22">
        <f>D28-E28</f>
        <v>1201</v>
      </c>
      <c r="O28" s="23">
        <f>(D28-E28)/E28</f>
        <v>0.08141820893</v>
      </c>
      <c r="P28" s="3"/>
      <c r="Q28" s="3"/>
    </row>
    <row r="29" ht="15.75" customHeight="1">
      <c r="A29" s="40"/>
      <c r="B29" s="40"/>
      <c r="C29" s="2"/>
      <c r="D29" s="2"/>
      <c r="E29" s="2"/>
      <c r="F29" s="11"/>
      <c r="G29" s="4"/>
      <c r="H29" s="4"/>
      <c r="I29" s="4"/>
      <c r="J29" s="4"/>
      <c r="K29" s="24"/>
      <c r="L29" s="30"/>
      <c r="M29" s="4"/>
      <c r="N29" s="24"/>
      <c r="O29" s="30"/>
      <c r="P29" s="11"/>
      <c r="Q29" s="11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41" t="s">
        <v>26</v>
      </c>
      <c r="C30" s="2"/>
      <c r="D30" s="2"/>
      <c r="E30" s="2"/>
      <c r="F30" s="3"/>
      <c r="G30" s="4"/>
      <c r="H30" s="4"/>
      <c r="I30" s="4"/>
      <c r="J30" s="4"/>
      <c r="K30" s="24"/>
      <c r="L30" s="30"/>
      <c r="M30" s="4"/>
      <c r="N30" s="24"/>
      <c r="O30" s="30"/>
      <c r="P30" s="3"/>
      <c r="Q30" s="3"/>
    </row>
    <row r="31" ht="15.75" customHeight="1">
      <c r="A31" s="3"/>
      <c r="B31" s="41" t="s">
        <v>27</v>
      </c>
      <c r="C31" s="42">
        <v>408.0</v>
      </c>
      <c r="D31" s="42">
        <v>778.0</v>
      </c>
      <c r="E31" s="42">
        <v>667.0</v>
      </c>
      <c r="F31" s="3"/>
      <c r="G31" s="35">
        <f t="shared" ref="G31:I31" si="28">C31/C5</f>
        <v>0.004817968187</v>
      </c>
      <c r="H31" s="35">
        <f t="shared" si="28"/>
        <v>0.009030445835</v>
      </c>
      <c r="I31" s="35">
        <f t="shared" si="28"/>
        <v>0.008423418872</v>
      </c>
      <c r="J31" s="4"/>
      <c r="K31" s="28">
        <f t="shared" ref="K31:K32" si="30">C31-D31</f>
        <v>-370</v>
      </c>
      <c r="L31" s="27">
        <f t="shared" ref="L31:L32" si="31">(C31-D31)/D31</f>
        <v>-0.4755784062</v>
      </c>
      <c r="M31" s="4"/>
      <c r="N31" s="28">
        <f t="shared" ref="N31:N32" si="32">D31-E31</f>
        <v>111</v>
      </c>
      <c r="O31" s="27">
        <f t="shared" ref="O31:O32" si="33">(D31-E31)/E31</f>
        <v>0.1664167916</v>
      </c>
      <c r="P31" s="3"/>
      <c r="Q31" s="3"/>
    </row>
    <row r="32" ht="15.75" customHeight="1">
      <c r="A32" s="3"/>
      <c r="B32" s="43" t="s">
        <v>28</v>
      </c>
      <c r="C32" s="44">
        <v>12550.0</v>
      </c>
      <c r="D32" s="44">
        <v>15174.0</v>
      </c>
      <c r="E32" s="44">
        <v>14084.0</v>
      </c>
      <c r="F32" s="3"/>
      <c r="G32" s="23">
        <f t="shared" ref="G32:I32" si="29">C32/C5</f>
        <v>0.1481997567</v>
      </c>
      <c r="H32" s="23">
        <f t="shared" si="29"/>
        <v>0.1761285155</v>
      </c>
      <c r="I32" s="23">
        <f t="shared" si="29"/>
        <v>0.177864215</v>
      </c>
      <c r="J32" s="4"/>
      <c r="K32" s="22">
        <f t="shared" si="30"/>
        <v>-2624</v>
      </c>
      <c r="L32" s="23">
        <f t="shared" si="31"/>
        <v>-0.1729273758</v>
      </c>
      <c r="M32" s="4"/>
      <c r="N32" s="22">
        <f t="shared" si="32"/>
        <v>1090</v>
      </c>
      <c r="O32" s="23">
        <f t="shared" si="33"/>
        <v>0.07739278614</v>
      </c>
      <c r="P32" s="3"/>
      <c r="Q32" s="3"/>
    </row>
    <row r="33" ht="15.75" customHeight="1">
      <c r="C33" s="45"/>
      <c r="D33" s="45"/>
      <c r="E33" s="45"/>
    </row>
    <row r="34" ht="15.75" customHeight="1">
      <c r="C34" s="45"/>
      <c r="D34" s="45"/>
      <c r="E34" s="45"/>
    </row>
    <row r="35" ht="15.75" customHeight="1">
      <c r="C35" s="45"/>
      <c r="D35" s="45"/>
      <c r="E35" s="45"/>
    </row>
    <row r="36" ht="15.75" customHeight="1">
      <c r="C36" s="45"/>
      <c r="D36" s="45"/>
      <c r="E36" s="45"/>
    </row>
    <row r="37" ht="15.75" customHeight="1">
      <c r="C37" s="45"/>
      <c r="D37" s="45"/>
      <c r="E37" s="45"/>
    </row>
    <row r="38" ht="15.75" customHeight="1">
      <c r="C38" s="45"/>
      <c r="D38" s="45"/>
      <c r="E38" s="45"/>
    </row>
    <row r="39" ht="15.75" customHeight="1">
      <c r="C39" s="45"/>
      <c r="D39" s="45"/>
      <c r="E39" s="45"/>
    </row>
    <row r="40" ht="15.75" customHeight="1">
      <c r="C40" s="45"/>
      <c r="D40" s="45"/>
      <c r="E40" s="45"/>
    </row>
    <row r="41" ht="15.75" customHeight="1">
      <c r="C41" s="45"/>
      <c r="D41" s="45"/>
      <c r="E41" s="45"/>
    </row>
    <row r="42" ht="15.75" customHeight="1">
      <c r="C42" s="45"/>
      <c r="D42" s="45"/>
      <c r="E42" s="45"/>
    </row>
    <row r="43" ht="15.75" customHeight="1">
      <c r="C43" s="45"/>
      <c r="D43" s="45"/>
      <c r="E43" s="45"/>
    </row>
    <row r="44" ht="15.75" customHeight="1">
      <c r="C44" s="45"/>
      <c r="D44" s="45"/>
      <c r="E44" s="45"/>
    </row>
    <row r="45" ht="15.75" customHeight="1">
      <c r="C45" s="45"/>
      <c r="D45" s="45"/>
      <c r="E45" s="45"/>
    </row>
    <row r="46" ht="15.75" customHeight="1">
      <c r="C46" s="45"/>
      <c r="D46" s="45"/>
      <c r="E46" s="45"/>
    </row>
    <row r="47" ht="15.75" customHeight="1">
      <c r="C47" s="45"/>
      <c r="D47" s="45"/>
      <c r="E47" s="45"/>
    </row>
    <row r="48" ht="15.75" customHeight="1">
      <c r="C48" s="45"/>
      <c r="D48" s="45"/>
      <c r="E48" s="45"/>
    </row>
    <row r="49" ht="15.75" customHeight="1">
      <c r="C49" s="45"/>
      <c r="D49" s="45"/>
      <c r="E49" s="45"/>
    </row>
    <row r="50" ht="15.75" customHeight="1">
      <c r="C50" s="45"/>
      <c r="D50" s="45"/>
      <c r="E50" s="45"/>
    </row>
    <row r="51" ht="15.75" customHeight="1">
      <c r="C51" s="45"/>
      <c r="D51" s="45"/>
      <c r="E51" s="45"/>
    </row>
    <row r="52" ht="15.75" customHeight="1">
      <c r="C52" s="45"/>
      <c r="D52" s="45"/>
      <c r="E52" s="45"/>
    </row>
    <row r="53" ht="15.75" customHeight="1">
      <c r="C53" s="45"/>
      <c r="D53" s="45"/>
      <c r="E53" s="45"/>
    </row>
    <row r="54" ht="15.75" customHeight="1">
      <c r="C54" s="45"/>
      <c r="D54" s="45"/>
      <c r="E54" s="45"/>
    </row>
    <row r="55" ht="15.75" customHeight="1">
      <c r="C55" s="45"/>
      <c r="D55" s="45"/>
      <c r="E55" s="45"/>
    </row>
    <row r="56" ht="15.75" customHeight="1">
      <c r="C56" s="45"/>
      <c r="D56" s="45"/>
      <c r="E56" s="45"/>
    </row>
    <row r="57" ht="15.75" customHeight="1">
      <c r="C57" s="45"/>
      <c r="D57" s="45"/>
      <c r="E57" s="45"/>
    </row>
    <row r="58" ht="15.75" customHeight="1">
      <c r="C58" s="45"/>
      <c r="D58" s="45"/>
      <c r="E58" s="45"/>
    </row>
    <row r="59" ht="15.75" customHeight="1">
      <c r="C59" s="45"/>
      <c r="D59" s="45"/>
      <c r="E59" s="45"/>
    </row>
    <row r="60" ht="15.75" customHeight="1">
      <c r="C60" s="45"/>
      <c r="D60" s="45"/>
      <c r="E60" s="45"/>
    </row>
    <row r="61" ht="15.75" customHeight="1">
      <c r="C61" s="45"/>
      <c r="D61" s="45"/>
      <c r="E61" s="45"/>
    </row>
    <row r="62" ht="15.75" customHeight="1">
      <c r="C62" s="45"/>
      <c r="D62" s="45"/>
      <c r="E62" s="45"/>
    </row>
    <row r="63" ht="15.75" customHeight="1">
      <c r="C63" s="45"/>
      <c r="D63" s="45"/>
      <c r="E63" s="45"/>
    </row>
    <row r="64" ht="15.75" customHeight="1">
      <c r="C64" s="45"/>
      <c r="D64" s="45"/>
      <c r="E64" s="45"/>
    </row>
    <row r="65" ht="15.75" customHeight="1">
      <c r="C65" s="45"/>
      <c r="D65" s="45"/>
      <c r="E65" s="45"/>
    </row>
    <row r="66" ht="15.75" customHeight="1">
      <c r="C66" s="45"/>
      <c r="D66" s="45"/>
      <c r="E66" s="45"/>
    </row>
    <row r="67" ht="15.75" customHeight="1">
      <c r="C67" s="45"/>
      <c r="D67" s="45"/>
      <c r="E67" s="45"/>
    </row>
    <row r="68" ht="15.75" customHeight="1">
      <c r="C68" s="45"/>
      <c r="D68" s="45"/>
      <c r="E68" s="45"/>
    </row>
    <row r="69" ht="15.75" customHeight="1">
      <c r="C69" s="45"/>
      <c r="D69" s="45"/>
      <c r="E69" s="45"/>
    </row>
    <row r="70" ht="15.75" customHeight="1">
      <c r="C70" s="45"/>
      <c r="D70" s="45"/>
      <c r="E70" s="45"/>
    </row>
    <row r="71" ht="15.75" customHeight="1">
      <c r="C71" s="45"/>
      <c r="D71" s="45"/>
      <c r="E71" s="45"/>
    </row>
    <row r="72" ht="15.75" customHeight="1">
      <c r="C72" s="45"/>
      <c r="D72" s="45"/>
      <c r="E72" s="45"/>
    </row>
    <row r="73" ht="15.75" customHeight="1">
      <c r="C73" s="45"/>
      <c r="D73" s="45"/>
      <c r="E73" s="45"/>
    </row>
    <row r="74" ht="15.75" customHeight="1">
      <c r="C74" s="45"/>
      <c r="D74" s="45"/>
      <c r="E74" s="45"/>
    </row>
    <row r="75" ht="15.75" customHeight="1">
      <c r="C75" s="45"/>
      <c r="D75" s="45"/>
      <c r="E75" s="45"/>
    </row>
    <row r="76" ht="15.75" customHeight="1">
      <c r="C76" s="45"/>
      <c r="D76" s="45"/>
      <c r="E76" s="45"/>
    </row>
    <row r="77" ht="15.75" customHeight="1">
      <c r="C77" s="45"/>
      <c r="D77" s="45"/>
      <c r="E77" s="45"/>
    </row>
    <row r="78" ht="15.75" customHeight="1">
      <c r="C78" s="45"/>
      <c r="D78" s="45"/>
      <c r="E78" s="45"/>
    </row>
    <row r="79" ht="15.75" customHeight="1">
      <c r="C79" s="45"/>
      <c r="D79" s="45"/>
      <c r="E79" s="45"/>
    </row>
    <row r="80" ht="15.75" customHeight="1">
      <c r="C80" s="45"/>
      <c r="D80" s="45"/>
      <c r="E80" s="45"/>
    </row>
    <row r="81" ht="15.75" customHeight="1">
      <c r="C81" s="45"/>
      <c r="D81" s="45"/>
      <c r="E81" s="45"/>
    </row>
    <row r="82" ht="15.75" customHeight="1">
      <c r="C82" s="45"/>
      <c r="D82" s="45"/>
      <c r="E82" s="45"/>
    </row>
    <row r="83" ht="15.75" customHeight="1">
      <c r="C83" s="45"/>
      <c r="D83" s="45"/>
      <c r="E83" s="45"/>
    </row>
    <row r="84" ht="15.75" customHeight="1">
      <c r="C84" s="45"/>
      <c r="D84" s="45"/>
      <c r="E84" s="45"/>
    </row>
    <row r="85" ht="15.75" customHeight="1">
      <c r="C85" s="45"/>
      <c r="D85" s="45"/>
      <c r="E85" s="45"/>
    </row>
    <row r="86" ht="15.75" customHeight="1">
      <c r="C86" s="45"/>
      <c r="D86" s="45"/>
      <c r="E86" s="45"/>
    </row>
    <row r="87" ht="15.75" customHeight="1">
      <c r="C87" s="45"/>
      <c r="D87" s="45"/>
      <c r="E87" s="45"/>
    </row>
    <row r="88" ht="15.75" customHeight="1">
      <c r="C88" s="45"/>
      <c r="D88" s="45"/>
      <c r="E88" s="45"/>
    </row>
    <row r="89" ht="15.75" customHeight="1">
      <c r="C89" s="45"/>
      <c r="D89" s="45"/>
      <c r="E89" s="45"/>
    </row>
    <row r="90" ht="15.75" customHeight="1">
      <c r="C90" s="45"/>
      <c r="D90" s="45"/>
      <c r="E90" s="45"/>
    </row>
    <row r="91" ht="15.75" customHeight="1">
      <c r="C91" s="45"/>
      <c r="D91" s="45"/>
      <c r="E91" s="45"/>
    </row>
    <row r="92" ht="15.75" customHeight="1">
      <c r="C92" s="45"/>
      <c r="D92" s="45"/>
      <c r="E92" s="45"/>
    </row>
    <row r="93" ht="15.75" customHeight="1">
      <c r="C93" s="45"/>
      <c r="D93" s="45"/>
      <c r="E93" s="45"/>
    </row>
    <row r="94" ht="15.75" customHeight="1">
      <c r="C94" s="45"/>
      <c r="D94" s="45"/>
      <c r="E94" s="45"/>
    </row>
    <row r="95" ht="15.75" customHeight="1">
      <c r="C95" s="45"/>
      <c r="D95" s="45"/>
      <c r="E95" s="45"/>
    </row>
    <row r="96" ht="15.75" customHeight="1">
      <c r="C96" s="45"/>
      <c r="D96" s="45"/>
      <c r="E96" s="45"/>
    </row>
    <row r="97" ht="15.75" customHeight="1">
      <c r="C97" s="45"/>
      <c r="D97" s="45"/>
      <c r="E97" s="45"/>
    </row>
    <row r="98" ht="15.75" customHeight="1">
      <c r="C98" s="45"/>
      <c r="D98" s="45"/>
      <c r="E98" s="45"/>
    </row>
    <row r="99" ht="15.75" customHeight="1">
      <c r="C99" s="45"/>
      <c r="D99" s="45"/>
      <c r="E99" s="45"/>
    </row>
    <row r="100" ht="15.75" customHeight="1">
      <c r="C100" s="45"/>
      <c r="D100" s="45"/>
      <c r="E100" s="45"/>
    </row>
    <row r="101" ht="15.75" customHeight="1">
      <c r="C101" s="45"/>
      <c r="D101" s="45"/>
      <c r="E101" s="45"/>
    </row>
    <row r="102" ht="15.75" customHeight="1">
      <c r="C102" s="45"/>
      <c r="D102" s="45"/>
      <c r="E102" s="45"/>
    </row>
    <row r="103" ht="15.75" customHeight="1">
      <c r="C103" s="45"/>
      <c r="D103" s="45"/>
      <c r="E103" s="45"/>
    </row>
    <row r="104" ht="15.75" customHeight="1">
      <c r="C104" s="45"/>
      <c r="D104" s="45"/>
      <c r="E104" s="45"/>
    </row>
    <row r="105" ht="15.75" customHeight="1">
      <c r="C105" s="45"/>
      <c r="D105" s="45"/>
      <c r="E105" s="45"/>
    </row>
    <row r="106" ht="15.75" customHeight="1">
      <c r="C106" s="45"/>
      <c r="D106" s="45"/>
      <c r="E106" s="45"/>
    </row>
    <row r="107" ht="15.75" customHeight="1">
      <c r="C107" s="45"/>
      <c r="D107" s="45"/>
      <c r="E107" s="45"/>
    </row>
    <row r="108" ht="15.75" customHeight="1">
      <c r="C108" s="45"/>
      <c r="D108" s="45"/>
      <c r="E108" s="45"/>
    </row>
    <row r="109" ht="15.75" customHeight="1">
      <c r="C109" s="45"/>
      <c r="D109" s="45"/>
      <c r="E109" s="45"/>
    </row>
    <row r="110" ht="15.75" customHeight="1">
      <c r="C110" s="45"/>
      <c r="D110" s="45"/>
      <c r="E110" s="45"/>
    </row>
    <row r="111" ht="15.75" customHeight="1">
      <c r="C111" s="45"/>
      <c r="D111" s="45"/>
      <c r="E111" s="45"/>
    </row>
    <row r="112" ht="15.75" customHeight="1">
      <c r="C112" s="45"/>
      <c r="D112" s="45"/>
      <c r="E112" s="45"/>
    </row>
    <row r="113" ht="15.75" customHeight="1">
      <c r="C113" s="45"/>
      <c r="D113" s="45"/>
      <c r="E113" s="45"/>
    </row>
    <row r="114" ht="15.75" customHeight="1">
      <c r="C114" s="45"/>
      <c r="D114" s="45"/>
      <c r="E114" s="45"/>
    </row>
    <row r="115" ht="15.75" customHeight="1">
      <c r="C115" s="45"/>
      <c r="D115" s="45"/>
      <c r="E115" s="45"/>
    </row>
    <row r="116" ht="15.75" customHeight="1">
      <c r="C116" s="45"/>
      <c r="D116" s="45"/>
      <c r="E116" s="45"/>
    </row>
    <row r="117" ht="15.75" customHeight="1">
      <c r="C117" s="45"/>
      <c r="D117" s="45"/>
      <c r="E117" s="45"/>
    </row>
    <row r="118" ht="15.75" customHeight="1">
      <c r="C118" s="45"/>
      <c r="D118" s="45"/>
      <c r="E118" s="45"/>
    </row>
    <row r="119" ht="15.75" customHeight="1">
      <c r="C119" s="45"/>
      <c r="D119" s="45"/>
      <c r="E119" s="45"/>
    </row>
    <row r="120" ht="15.75" customHeight="1">
      <c r="C120" s="45"/>
      <c r="D120" s="45"/>
      <c r="E120" s="45"/>
    </row>
    <row r="121" ht="15.75" customHeight="1">
      <c r="C121" s="45"/>
      <c r="D121" s="45"/>
      <c r="E121" s="45"/>
    </row>
    <row r="122" ht="15.75" customHeight="1">
      <c r="C122" s="45"/>
      <c r="D122" s="45"/>
      <c r="E122" s="45"/>
    </row>
    <row r="123" ht="15.75" customHeight="1">
      <c r="C123" s="45"/>
      <c r="D123" s="45"/>
      <c r="E123" s="45"/>
    </row>
    <row r="124" ht="15.75" customHeight="1">
      <c r="C124" s="45"/>
      <c r="D124" s="45"/>
      <c r="E124" s="45"/>
    </row>
    <row r="125" ht="15.75" customHeight="1">
      <c r="C125" s="45"/>
      <c r="D125" s="45"/>
      <c r="E125" s="45"/>
    </row>
    <row r="126" ht="15.75" customHeight="1">
      <c r="C126" s="45"/>
      <c r="D126" s="45"/>
      <c r="E126" s="45"/>
    </row>
    <row r="127" ht="15.75" customHeight="1">
      <c r="C127" s="45"/>
      <c r="D127" s="45"/>
      <c r="E127" s="45"/>
    </row>
    <row r="128" ht="15.75" customHeight="1">
      <c r="C128" s="45"/>
      <c r="D128" s="45"/>
      <c r="E128" s="45"/>
    </row>
    <row r="129" ht="15.75" customHeight="1">
      <c r="C129" s="45"/>
      <c r="D129" s="45"/>
      <c r="E129" s="45"/>
    </row>
    <row r="130" ht="15.75" customHeight="1">
      <c r="C130" s="45"/>
      <c r="D130" s="45"/>
      <c r="E130" s="45"/>
    </row>
    <row r="131" ht="15.75" customHeight="1">
      <c r="C131" s="45"/>
      <c r="D131" s="45"/>
      <c r="E131" s="45"/>
    </row>
    <row r="132" ht="15.75" customHeight="1">
      <c r="C132" s="45"/>
      <c r="D132" s="45"/>
      <c r="E132" s="45"/>
    </row>
    <row r="133" ht="15.75" customHeight="1">
      <c r="C133" s="45"/>
      <c r="D133" s="45"/>
      <c r="E133" s="45"/>
    </row>
    <row r="134" ht="15.75" customHeight="1">
      <c r="C134" s="45"/>
      <c r="D134" s="45"/>
      <c r="E134" s="45"/>
    </row>
    <row r="135" ht="15.75" customHeight="1">
      <c r="C135" s="45"/>
      <c r="D135" s="45"/>
      <c r="E135" s="45"/>
    </row>
    <row r="136" ht="15.75" customHeight="1">
      <c r="C136" s="45"/>
      <c r="D136" s="45"/>
      <c r="E136" s="45"/>
    </row>
    <row r="137" ht="15.75" customHeight="1">
      <c r="C137" s="45"/>
      <c r="D137" s="45"/>
      <c r="E137" s="45"/>
    </row>
    <row r="138" ht="15.75" customHeight="1">
      <c r="C138" s="45"/>
      <c r="D138" s="45"/>
      <c r="E138" s="45"/>
    </row>
    <row r="139" ht="15.75" customHeight="1">
      <c r="C139" s="45"/>
      <c r="D139" s="45"/>
      <c r="E139" s="45"/>
    </row>
    <row r="140" ht="15.75" customHeight="1">
      <c r="C140" s="45"/>
      <c r="D140" s="45"/>
      <c r="E140" s="45"/>
    </row>
    <row r="141" ht="15.75" customHeight="1">
      <c r="C141" s="45"/>
      <c r="D141" s="45"/>
      <c r="E141" s="45"/>
    </row>
    <row r="142" ht="15.75" customHeight="1">
      <c r="C142" s="45"/>
      <c r="D142" s="45"/>
      <c r="E142" s="45"/>
    </row>
    <row r="143" ht="15.75" customHeight="1">
      <c r="C143" s="45"/>
      <c r="D143" s="45"/>
      <c r="E143" s="45"/>
    </row>
    <row r="144" ht="15.75" customHeight="1">
      <c r="C144" s="45"/>
      <c r="D144" s="45"/>
      <c r="E144" s="45"/>
    </row>
    <row r="145" ht="15.75" customHeight="1">
      <c r="C145" s="45"/>
      <c r="D145" s="45"/>
      <c r="E145" s="45"/>
    </row>
    <row r="146" ht="15.75" customHeight="1">
      <c r="C146" s="45"/>
      <c r="D146" s="45"/>
      <c r="E146" s="45"/>
    </row>
    <row r="147" ht="15.75" customHeight="1">
      <c r="C147" s="45"/>
      <c r="D147" s="45"/>
      <c r="E147" s="45"/>
    </row>
    <row r="148" ht="15.75" customHeight="1">
      <c r="C148" s="45"/>
      <c r="D148" s="45"/>
      <c r="E148" s="45"/>
    </row>
    <row r="149" ht="15.75" customHeight="1">
      <c r="C149" s="45"/>
      <c r="D149" s="45"/>
      <c r="E149" s="45"/>
    </row>
    <row r="150" ht="15.75" customHeight="1">
      <c r="C150" s="45"/>
      <c r="D150" s="45"/>
      <c r="E150" s="45"/>
    </row>
    <row r="151" ht="15.75" customHeight="1">
      <c r="C151" s="45"/>
      <c r="D151" s="45"/>
      <c r="E151" s="45"/>
    </row>
    <row r="152" ht="15.75" customHeight="1">
      <c r="C152" s="45"/>
      <c r="D152" s="45"/>
      <c r="E152" s="45"/>
    </row>
    <row r="153" ht="15.75" customHeight="1">
      <c r="C153" s="45"/>
      <c r="D153" s="45"/>
      <c r="E153" s="45"/>
    </row>
    <row r="154" ht="15.75" customHeight="1">
      <c r="C154" s="45"/>
      <c r="D154" s="45"/>
      <c r="E154" s="45"/>
    </row>
    <row r="155" ht="15.75" customHeight="1">
      <c r="C155" s="45"/>
      <c r="D155" s="45"/>
      <c r="E155" s="45"/>
    </row>
    <row r="156" ht="15.75" customHeight="1">
      <c r="C156" s="45"/>
      <c r="D156" s="45"/>
      <c r="E156" s="45"/>
    </row>
    <row r="157" ht="15.75" customHeight="1">
      <c r="C157" s="45"/>
      <c r="D157" s="45"/>
      <c r="E157" s="45"/>
    </row>
    <row r="158" ht="15.75" customHeight="1">
      <c r="C158" s="45"/>
      <c r="D158" s="45"/>
      <c r="E158" s="45"/>
    </row>
    <row r="159" ht="15.75" customHeight="1">
      <c r="C159" s="45"/>
      <c r="D159" s="45"/>
      <c r="E159" s="45"/>
    </row>
    <row r="160" ht="15.75" customHeight="1">
      <c r="C160" s="45"/>
      <c r="D160" s="45"/>
      <c r="E160" s="45"/>
    </row>
    <row r="161" ht="15.75" customHeight="1">
      <c r="C161" s="45"/>
      <c r="D161" s="45"/>
      <c r="E161" s="45"/>
    </row>
    <row r="162" ht="15.75" customHeight="1">
      <c r="C162" s="45"/>
      <c r="D162" s="45"/>
      <c r="E162" s="45"/>
    </row>
    <row r="163" ht="15.75" customHeight="1">
      <c r="C163" s="45"/>
      <c r="D163" s="45"/>
      <c r="E163" s="45"/>
    </row>
    <row r="164" ht="15.75" customHeight="1">
      <c r="C164" s="45"/>
      <c r="D164" s="45"/>
      <c r="E164" s="45"/>
    </row>
    <row r="165" ht="15.75" customHeight="1">
      <c r="C165" s="45"/>
      <c r="D165" s="45"/>
      <c r="E165" s="45"/>
    </row>
    <row r="166" ht="15.75" customHeight="1">
      <c r="C166" s="45"/>
      <c r="D166" s="45"/>
      <c r="E166" s="45"/>
    </row>
    <row r="167" ht="15.75" customHeight="1">
      <c r="C167" s="45"/>
      <c r="D167" s="45"/>
      <c r="E167" s="45"/>
    </row>
    <row r="168" ht="15.75" customHeight="1">
      <c r="C168" s="45"/>
      <c r="D168" s="45"/>
      <c r="E168" s="45"/>
    </row>
    <row r="169" ht="15.75" customHeight="1">
      <c r="C169" s="45"/>
      <c r="D169" s="45"/>
      <c r="E169" s="45"/>
    </row>
    <row r="170" ht="15.75" customHeight="1">
      <c r="C170" s="45"/>
      <c r="D170" s="45"/>
      <c r="E170" s="45"/>
    </row>
    <row r="171" ht="15.75" customHeight="1">
      <c r="C171" s="45"/>
      <c r="D171" s="45"/>
      <c r="E171" s="45"/>
    </row>
    <row r="172" ht="15.75" customHeight="1">
      <c r="C172" s="45"/>
      <c r="D172" s="45"/>
      <c r="E172" s="45"/>
    </row>
    <row r="173" ht="15.75" customHeight="1">
      <c r="C173" s="45"/>
      <c r="D173" s="45"/>
      <c r="E173" s="45"/>
    </row>
    <row r="174" ht="15.75" customHeight="1">
      <c r="C174" s="45"/>
      <c r="D174" s="45"/>
      <c r="E174" s="45"/>
    </row>
    <row r="175" ht="15.75" customHeight="1">
      <c r="C175" s="45"/>
      <c r="D175" s="45"/>
      <c r="E175" s="45"/>
    </row>
    <row r="176" ht="15.75" customHeight="1">
      <c r="C176" s="45"/>
      <c r="D176" s="45"/>
      <c r="E176" s="45"/>
    </row>
    <row r="177" ht="15.75" customHeight="1">
      <c r="C177" s="45"/>
      <c r="D177" s="45"/>
      <c r="E177" s="45"/>
    </row>
    <row r="178" ht="15.75" customHeight="1">
      <c r="C178" s="45"/>
      <c r="D178" s="45"/>
      <c r="E178" s="45"/>
    </row>
    <row r="179" ht="15.75" customHeight="1">
      <c r="C179" s="45"/>
      <c r="D179" s="45"/>
      <c r="E179" s="45"/>
    </row>
    <row r="180" ht="15.75" customHeight="1">
      <c r="C180" s="45"/>
      <c r="D180" s="45"/>
      <c r="E180" s="45"/>
    </row>
    <row r="181" ht="15.75" customHeight="1">
      <c r="C181" s="45"/>
      <c r="D181" s="45"/>
      <c r="E181" s="45"/>
    </row>
    <row r="182" ht="15.75" customHeight="1">
      <c r="C182" s="45"/>
      <c r="D182" s="45"/>
      <c r="E182" s="45"/>
    </row>
    <row r="183" ht="15.75" customHeight="1">
      <c r="C183" s="45"/>
      <c r="D183" s="45"/>
      <c r="E183" s="45"/>
    </row>
    <row r="184" ht="15.75" customHeight="1">
      <c r="C184" s="45"/>
      <c r="D184" s="45"/>
      <c r="E184" s="45"/>
    </row>
    <row r="185" ht="15.75" customHeight="1">
      <c r="C185" s="45"/>
      <c r="D185" s="45"/>
      <c r="E185" s="45"/>
    </row>
    <row r="186" ht="15.75" customHeight="1">
      <c r="C186" s="45"/>
      <c r="D186" s="45"/>
      <c r="E186" s="45"/>
    </row>
    <row r="187" ht="15.75" customHeight="1">
      <c r="C187" s="45"/>
      <c r="D187" s="45"/>
      <c r="E187" s="45"/>
    </row>
    <row r="188" ht="15.75" customHeight="1">
      <c r="C188" s="45"/>
      <c r="D188" s="45"/>
      <c r="E188" s="45"/>
    </row>
    <row r="189" ht="15.75" customHeight="1">
      <c r="C189" s="45"/>
      <c r="D189" s="45"/>
      <c r="E189" s="45"/>
    </row>
    <row r="190" ht="15.75" customHeight="1">
      <c r="C190" s="45"/>
      <c r="D190" s="45"/>
      <c r="E190" s="45"/>
    </row>
    <row r="191" ht="15.75" customHeight="1">
      <c r="C191" s="45"/>
      <c r="D191" s="45"/>
      <c r="E191" s="45"/>
    </row>
    <row r="192" ht="15.75" customHeight="1">
      <c r="C192" s="45"/>
      <c r="D192" s="45"/>
      <c r="E192" s="45"/>
    </row>
    <row r="193" ht="15.75" customHeight="1">
      <c r="C193" s="45"/>
      <c r="D193" s="45"/>
      <c r="E193" s="45"/>
    </row>
    <row r="194" ht="15.75" customHeight="1">
      <c r="C194" s="45"/>
      <c r="D194" s="45"/>
      <c r="E194" s="45"/>
    </row>
    <row r="195" ht="15.75" customHeight="1">
      <c r="C195" s="45"/>
      <c r="D195" s="45"/>
      <c r="E195" s="45"/>
    </row>
    <row r="196" ht="15.75" customHeight="1">
      <c r="C196" s="45"/>
      <c r="D196" s="45"/>
      <c r="E196" s="45"/>
    </row>
    <row r="197" ht="15.75" customHeight="1">
      <c r="C197" s="45"/>
      <c r="D197" s="45"/>
      <c r="E197" s="45"/>
    </row>
    <row r="198" ht="15.75" customHeight="1">
      <c r="C198" s="45"/>
      <c r="D198" s="45"/>
      <c r="E198" s="45"/>
    </row>
    <row r="199" ht="15.75" customHeight="1">
      <c r="C199" s="45"/>
      <c r="D199" s="45"/>
      <c r="E199" s="45"/>
    </row>
    <row r="200" ht="15.75" customHeight="1">
      <c r="C200" s="45"/>
      <c r="D200" s="45"/>
      <c r="E200" s="45"/>
    </row>
    <row r="201" ht="15.75" customHeight="1">
      <c r="C201" s="45"/>
      <c r="D201" s="45"/>
      <c r="E201" s="45"/>
    </row>
    <row r="202" ht="15.75" customHeight="1">
      <c r="C202" s="45"/>
      <c r="D202" s="45"/>
      <c r="E202" s="45"/>
    </row>
    <row r="203" ht="15.75" customHeight="1">
      <c r="C203" s="45"/>
      <c r="D203" s="45"/>
      <c r="E203" s="45"/>
    </row>
    <row r="204" ht="15.75" customHeight="1">
      <c r="C204" s="45"/>
      <c r="D204" s="45"/>
      <c r="E204" s="45"/>
    </row>
    <row r="205" ht="15.75" customHeight="1">
      <c r="C205" s="45"/>
      <c r="D205" s="45"/>
      <c r="E205" s="45"/>
    </row>
    <row r="206" ht="15.75" customHeight="1">
      <c r="C206" s="45"/>
      <c r="D206" s="45"/>
      <c r="E206" s="45"/>
    </row>
    <row r="207" ht="15.75" customHeight="1">
      <c r="C207" s="45"/>
      <c r="D207" s="45"/>
      <c r="E207" s="45"/>
    </row>
    <row r="208" ht="15.75" customHeight="1">
      <c r="C208" s="45"/>
      <c r="D208" s="45"/>
      <c r="E208" s="45"/>
    </row>
    <row r="209" ht="15.75" customHeight="1">
      <c r="C209" s="45"/>
      <c r="D209" s="45"/>
      <c r="E209" s="45"/>
    </row>
    <row r="210" ht="15.75" customHeight="1">
      <c r="C210" s="45"/>
      <c r="D210" s="45"/>
      <c r="E210" s="45"/>
    </row>
    <row r="211" ht="15.75" customHeight="1">
      <c r="C211" s="45"/>
      <c r="D211" s="45"/>
      <c r="E211" s="45"/>
    </row>
    <row r="212" ht="15.75" customHeight="1">
      <c r="C212" s="45"/>
      <c r="D212" s="45"/>
      <c r="E212" s="45"/>
    </row>
    <row r="213" ht="15.75" customHeight="1">
      <c r="C213" s="45"/>
      <c r="D213" s="45"/>
      <c r="E213" s="45"/>
    </row>
    <row r="214" ht="15.75" customHeight="1">
      <c r="C214" s="45"/>
      <c r="D214" s="45"/>
      <c r="E214" s="45"/>
    </row>
    <row r="215" ht="15.75" customHeight="1">
      <c r="C215" s="45"/>
      <c r="D215" s="45"/>
      <c r="E215" s="45"/>
    </row>
    <row r="216" ht="15.75" customHeight="1">
      <c r="C216" s="45"/>
      <c r="D216" s="45"/>
      <c r="E216" s="45"/>
    </row>
    <row r="217" ht="15.75" customHeight="1">
      <c r="C217" s="45"/>
      <c r="D217" s="45"/>
      <c r="E217" s="45"/>
    </row>
    <row r="218" ht="15.75" customHeight="1">
      <c r="C218" s="45"/>
      <c r="D218" s="45"/>
      <c r="E218" s="45"/>
    </row>
    <row r="219" ht="15.75" customHeight="1">
      <c r="C219" s="45"/>
      <c r="D219" s="45"/>
      <c r="E219" s="45"/>
    </row>
    <row r="220" ht="15.75" customHeight="1">
      <c r="C220" s="45"/>
      <c r="D220" s="45"/>
      <c r="E220" s="45"/>
    </row>
    <row r="221" ht="15.75" customHeight="1">
      <c r="C221" s="45"/>
      <c r="D221" s="45"/>
      <c r="E221" s="45"/>
    </row>
    <row r="222" ht="15.75" customHeight="1">
      <c r="C222" s="45"/>
      <c r="D222" s="45"/>
      <c r="E222" s="45"/>
    </row>
    <row r="223" ht="15.75" customHeight="1">
      <c r="C223" s="45"/>
      <c r="D223" s="45"/>
      <c r="E223" s="45"/>
    </row>
    <row r="224" ht="15.75" customHeight="1">
      <c r="C224" s="45"/>
      <c r="D224" s="45"/>
      <c r="E224" s="45"/>
    </row>
    <row r="225" ht="15.75" customHeight="1">
      <c r="C225" s="45"/>
      <c r="D225" s="45"/>
      <c r="E225" s="45"/>
    </row>
    <row r="226" ht="15.75" customHeight="1">
      <c r="C226" s="45"/>
      <c r="D226" s="45"/>
      <c r="E226" s="45"/>
    </row>
    <row r="227" ht="15.75" customHeight="1">
      <c r="C227" s="45"/>
      <c r="D227" s="45"/>
      <c r="E227" s="45"/>
    </row>
    <row r="228" ht="15.75" customHeight="1">
      <c r="C228" s="45"/>
      <c r="D228" s="45"/>
      <c r="E228" s="45"/>
    </row>
    <row r="229" ht="15.75" customHeight="1">
      <c r="C229" s="45"/>
      <c r="D229" s="45"/>
      <c r="E229" s="45"/>
    </row>
    <row r="230" ht="15.75" customHeight="1">
      <c r="C230" s="45"/>
      <c r="D230" s="45"/>
      <c r="E230" s="45"/>
    </row>
    <row r="231" ht="15.75" customHeight="1">
      <c r="C231" s="45"/>
      <c r="D231" s="45"/>
      <c r="E231" s="45"/>
    </row>
    <row r="232" ht="15.75" customHeight="1">
      <c r="C232" s="45"/>
      <c r="D232" s="45"/>
      <c r="E232" s="45"/>
    </row>
    <row r="233" ht="15.75" customHeight="1">
      <c r="C233" s="45"/>
      <c r="D233" s="45"/>
      <c r="E233" s="45"/>
    </row>
    <row r="234" ht="15.75" customHeight="1">
      <c r="C234" s="45"/>
      <c r="D234" s="45"/>
      <c r="E234" s="45"/>
    </row>
    <row r="235" ht="15.75" customHeight="1">
      <c r="C235" s="45"/>
      <c r="D235" s="45"/>
      <c r="E235" s="45"/>
    </row>
    <row r="236" ht="15.75" customHeight="1">
      <c r="C236" s="45"/>
      <c r="D236" s="45"/>
      <c r="E236" s="45"/>
    </row>
    <row r="237" ht="15.75" customHeight="1">
      <c r="C237" s="45"/>
      <c r="D237" s="45"/>
      <c r="E237" s="45"/>
    </row>
    <row r="238" ht="15.75" customHeight="1">
      <c r="C238" s="45"/>
      <c r="D238" s="45"/>
      <c r="E238" s="45"/>
    </row>
    <row r="239" ht="15.75" customHeight="1">
      <c r="C239" s="45"/>
      <c r="D239" s="45"/>
      <c r="E239" s="45"/>
    </row>
    <row r="240" ht="15.75" customHeight="1">
      <c r="C240" s="45"/>
      <c r="D240" s="45"/>
      <c r="E240" s="45"/>
    </row>
    <row r="241" ht="15.75" customHeight="1">
      <c r="C241" s="45"/>
      <c r="D241" s="45"/>
      <c r="E241" s="45"/>
    </row>
    <row r="242" ht="15.75" customHeight="1">
      <c r="C242" s="45"/>
      <c r="D242" s="45"/>
      <c r="E242" s="45"/>
    </row>
    <row r="243" ht="15.75" customHeight="1">
      <c r="C243" s="45"/>
      <c r="D243" s="45"/>
      <c r="E243" s="45"/>
    </row>
    <row r="244" ht="15.75" customHeight="1">
      <c r="C244" s="45"/>
      <c r="D244" s="45"/>
      <c r="E244" s="45"/>
    </row>
    <row r="245" ht="15.75" customHeight="1">
      <c r="C245" s="45"/>
      <c r="D245" s="45"/>
      <c r="E245" s="45"/>
    </row>
    <row r="246" ht="15.75" customHeight="1">
      <c r="C246" s="45"/>
      <c r="D246" s="45"/>
      <c r="E246" s="45"/>
    </row>
    <row r="247" ht="15.75" customHeight="1">
      <c r="C247" s="45"/>
      <c r="D247" s="45"/>
      <c r="E247" s="45"/>
    </row>
    <row r="248" ht="15.75" customHeight="1">
      <c r="C248" s="45"/>
      <c r="D248" s="45"/>
      <c r="E248" s="45"/>
    </row>
    <row r="249" ht="15.75" customHeight="1">
      <c r="C249" s="45"/>
      <c r="D249" s="45"/>
      <c r="E249" s="45"/>
    </row>
    <row r="250" ht="15.75" customHeight="1">
      <c r="C250" s="45"/>
      <c r="D250" s="45"/>
      <c r="E250" s="45"/>
    </row>
    <row r="251" ht="15.75" customHeight="1">
      <c r="C251" s="45"/>
      <c r="D251" s="45"/>
      <c r="E251" s="45"/>
    </row>
    <row r="252" ht="15.75" customHeight="1">
      <c r="C252" s="45"/>
      <c r="D252" s="45"/>
      <c r="E252" s="45"/>
    </row>
    <row r="253" ht="15.75" customHeight="1">
      <c r="C253" s="45"/>
      <c r="D253" s="45"/>
      <c r="E253" s="45"/>
    </row>
    <row r="254" ht="15.75" customHeight="1">
      <c r="C254" s="45"/>
      <c r="D254" s="45"/>
      <c r="E254" s="45"/>
    </row>
    <row r="255" ht="15.75" customHeight="1">
      <c r="C255" s="45"/>
      <c r="D255" s="45"/>
      <c r="E255" s="45"/>
    </row>
    <row r="256" ht="15.75" customHeight="1">
      <c r="C256" s="45"/>
      <c r="D256" s="45"/>
      <c r="E256" s="45"/>
    </row>
    <row r="257" ht="15.75" customHeight="1">
      <c r="C257" s="45"/>
      <c r="D257" s="45"/>
      <c r="E257" s="45"/>
    </row>
    <row r="258" ht="15.75" customHeight="1">
      <c r="C258" s="45"/>
      <c r="D258" s="45"/>
      <c r="E258" s="45"/>
    </row>
    <row r="259" ht="15.75" customHeight="1">
      <c r="C259" s="45"/>
      <c r="D259" s="45"/>
      <c r="E259" s="45"/>
    </row>
    <row r="260" ht="15.75" customHeight="1">
      <c r="C260" s="45"/>
      <c r="D260" s="45"/>
      <c r="E260" s="45"/>
    </row>
    <row r="261" ht="15.75" customHeight="1">
      <c r="C261" s="45"/>
      <c r="D261" s="45"/>
      <c r="E261" s="45"/>
    </row>
    <row r="262" ht="15.75" customHeight="1">
      <c r="C262" s="45"/>
      <c r="D262" s="45"/>
      <c r="E262" s="45"/>
    </row>
    <row r="263" ht="15.75" customHeight="1">
      <c r="C263" s="45"/>
      <c r="D263" s="45"/>
      <c r="E263" s="45"/>
    </row>
    <row r="264" ht="15.75" customHeight="1">
      <c r="C264" s="45"/>
      <c r="D264" s="45"/>
      <c r="E264" s="45"/>
    </row>
    <row r="265" ht="15.75" customHeight="1">
      <c r="C265" s="45"/>
      <c r="D265" s="45"/>
      <c r="E265" s="45"/>
    </row>
    <row r="266" ht="15.75" customHeight="1">
      <c r="C266" s="45"/>
      <c r="D266" s="45"/>
      <c r="E266" s="45"/>
    </row>
    <row r="267" ht="15.75" customHeight="1">
      <c r="C267" s="45"/>
      <c r="D267" s="45"/>
      <c r="E267" s="45"/>
    </row>
    <row r="268" ht="15.75" customHeight="1">
      <c r="C268" s="45"/>
      <c r="D268" s="45"/>
      <c r="E268" s="45"/>
    </row>
    <row r="269" ht="15.75" customHeight="1">
      <c r="C269" s="45"/>
      <c r="D269" s="45"/>
      <c r="E269" s="45"/>
    </row>
    <row r="270" ht="15.75" customHeight="1">
      <c r="C270" s="45"/>
      <c r="D270" s="45"/>
      <c r="E270" s="45"/>
    </row>
    <row r="271" ht="15.75" customHeight="1">
      <c r="C271" s="45"/>
      <c r="D271" s="45"/>
      <c r="E271" s="45"/>
    </row>
    <row r="272" ht="15.75" customHeight="1">
      <c r="C272" s="45"/>
      <c r="D272" s="45"/>
      <c r="E272" s="45"/>
    </row>
    <row r="273" ht="15.75" customHeight="1">
      <c r="C273" s="45"/>
      <c r="D273" s="45"/>
      <c r="E273" s="45"/>
    </row>
    <row r="274" ht="15.75" customHeight="1">
      <c r="C274" s="45"/>
      <c r="D274" s="45"/>
      <c r="E274" s="45"/>
    </row>
    <row r="275" ht="15.75" customHeight="1">
      <c r="C275" s="45"/>
      <c r="D275" s="45"/>
      <c r="E275" s="45"/>
    </row>
    <row r="276" ht="15.75" customHeight="1">
      <c r="C276" s="45"/>
      <c r="D276" s="45"/>
      <c r="E276" s="45"/>
    </row>
    <row r="277" ht="15.75" customHeight="1">
      <c r="C277" s="45"/>
      <c r="D277" s="45"/>
      <c r="E277" s="45"/>
    </row>
    <row r="278" ht="15.75" customHeight="1">
      <c r="C278" s="45"/>
      <c r="D278" s="45"/>
      <c r="E278" s="45"/>
    </row>
    <row r="279" ht="15.75" customHeight="1">
      <c r="C279" s="45"/>
      <c r="D279" s="45"/>
      <c r="E279" s="45"/>
    </row>
    <row r="280" ht="15.75" customHeight="1">
      <c r="C280" s="45"/>
      <c r="D280" s="45"/>
      <c r="E280" s="45"/>
    </row>
    <row r="281" ht="15.75" customHeight="1">
      <c r="C281" s="45"/>
      <c r="D281" s="45"/>
      <c r="E281" s="45"/>
    </row>
    <row r="282" ht="15.75" customHeight="1">
      <c r="C282" s="45"/>
      <c r="D282" s="45"/>
      <c r="E282" s="45"/>
    </row>
    <row r="283" ht="15.75" customHeight="1">
      <c r="C283" s="45"/>
      <c r="D283" s="45"/>
      <c r="E283" s="45"/>
    </row>
    <row r="284" ht="15.75" customHeight="1">
      <c r="C284" s="45"/>
      <c r="D284" s="45"/>
      <c r="E284" s="45"/>
    </row>
    <row r="285" ht="15.75" customHeight="1">
      <c r="C285" s="45"/>
      <c r="D285" s="45"/>
      <c r="E285" s="45"/>
    </row>
    <row r="286" ht="15.75" customHeight="1">
      <c r="C286" s="45"/>
      <c r="D286" s="45"/>
      <c r="E286" s="45"/>
    </row>
    <row r="287" ht="15.75" customHeight="1">
      <c r="C287" s="45"/>
      <c r="D287" s="45"/>
      <c r="E287" s="45"/>
    </row>
    <row r="288" ht="15.75" customHeight="1">
      <c r="C288" s="45"/>
      <c r="D288" s="45"/>
      <c r="E288" s="45"/>
    </row>
    <row r="289" ht="15.75" customHeight="1">
      <c r="C289" s="45"/>
      <c r="D289" s="45"/>
      <c r="E289" s="45"/>
    </row>
    <row r="290" ht="15.75" customHeight="1">
      <c r="C290" s="45"/>
      <c r="D290" s="45"/>
      <c r="E290" s="45"/>
    </row>
    <row r="291" ht="15.75" customHeight="1">
      <c r="C291" s="45"/>
      <c r="D291" s="45"/>
      <c r="E291" s="45"/>
    </row>
    <row r="292" ht="15.75" customHeight="1">
      <c r="C292" s="45"/>
      <c r="D292" s="45"/>
      <c r="E292" s="45"/>
    </row>
    <row r="293" ht="15.75" customHeight="1">
      <c r="C293" s="45"/>
      <c r="D293" s="45"/>
      <c r="E293" s="45"/>
    </row>
    <row r="294" ht="15.75" customHeight="1">
      <c r="C294" s="45"/>
      <c r="D294" s="45"/>
      <c r="E294" s="45"/>
    </row>
    <row r="295" ht="15.75" customHeight="1">
      <c r="C295" s="45"/>
      <c r="D295" s="45"/>
      <c r="E295" s="45"/>
    </row>
    <row r="296" ht="15.75" customHeight="1">
      <c r="C296" s="45"/>
      <c r="D296" s="45"/>
      <c r="E296" s="45"/>
    </row>
    <row r="297" ht="15.75" customHeight="1">
      <c r="C297" s="45"/>
      <c r="D297" s="45"/>
      <c r="E297" s="45"/>
    </row>
    <row r="298" ht="15.75" customHeight="1">
      <c r="C298" s="45"/>
      <c r="D298" s="45"/>
      <c r="E298" s="45"/>
    </row>
    <row r="299" ht="15.75" customHeight="1">
      <c r="C299" s="45"/>
      <c r="D299" s="45"/>
      <c r="E299" s="45"/>
    </row>
    <row r="300" ht="15.75" customHeight="1">
      <c r="C300" s="45"/>
      <c r="D300" s="45"/>
      <c r="E300" s="45"/>
    </row>
    <row r="301" ht="15.75" customHeight="1">
      <c r="C301" s="45"/>
      <c r="D301" s="45"/>
      <c r="E301" s="45"/>
    </row>
    <row r="302" ht="15.75" customHeight="1">
      <c r="C302" s="45"/>
      <c r="D302" s="45"/>
      <c r="E302" s="45"/>
    </row>
    <row r="303" ht="15.75" customHeight="1">
      <c r="C303" s="45"/>
      <c r="D303" s="45"/>
      <c r="E303" s="45"/>
    </row>
    <row r="304" ht="15.75" customHeight="1">
      <c r="C304" s="45"/>
      <c r="D304" s="45"/>
      <c r="E304" s="45"/>
    </row>
    <row r="305" ht="15.75" customHeight="1">
      <c r="C305" s="45"/>
      <c r="D305" s="45"/>
      <c r="E305" s="45"/>
    </row>
    <row r="306" ht="15.75" customHeight="1">
      <c r="C306" s="45"/>
      <c r="D306" s="45"/>
      <c r="E306" s="45"/>
    </row>
    <row r="307" ht="15.75" customHeight="1">
      <c r="C307" s="45"/>
      <c r="D307" s="45"/>
      <c r="E307" s="45"/>
    </row>
    <row r="308" ht="15.75" customHeight="1">
      <c r="C308" s="45"/>
      <c r="D308" s="45"/>
      <c r="E308" s="45"/>
    </row>
    <row r="309" ht="15.75" customHeight="1">
      <c r="C309" s="45"/>
      <c r="D309" s="45"/>
      <c r="E309" s="45"/>
    </row>
    <row r="310" ht="15.75" customHeight="1">
      <c r="C310" s="45"/>
      <c r="D310" s="45"/>
      <c r="E310" s="45"/>
    </row>
    <row r="311" ht="15.75" customHeight="1">
      <c r="C311" s="45"/>
      <c r="D311" s="45"/>
      <c r="E311" s="45"/>
    </row>
    <row r="312" ht="15.75" customHeight="1">
      <c r="C312" s="45"/>
      <c r="D312" s="45"/>
      <c r="E312" s="45"/>
    </row>
    <row r="313" ht="15.75" customHeight="1">
      <c r="C313" s="45"/>
      <c r="D313" s="45"/>
      <c r="E313" s="45"/>
    </row>
    <row r="314" ht="15.75" customHeight="1">
      <c r="C314" s="45"/>
      <c r="D314" s="45"/>
      <c r="E314" s="45"/>
    </row>
    <row r="315" ht="15.75" customHeight="1">
      <c r="C315" s="45"/>
      <c r="D315" s="45"/>
      <c r="E315" s="45"/>
    </row>
    <row r="316" ht="15.75" customHeight="1">
      <c r="C316" s="45"/>
      <c r="D316" s="45"/>
      <c r="E316" s="45"/>
    </row>
    <row r="317" ht="15.75" customHeight="1">
      <c r="C317" s="45"/>
      <c r="D317" s="45"/>
      <c r="E317" s="45"/>
    </row>
    <row r="318" ht="15.75" customHeight="1">
      <c r="C318" s="45"/>
      <c r="D318" s="45"/>
      <c r="E318" s="45"/>
    </row>
    <row r="319" ht="15.75" customHeight="1">
      <c r="C319" s="45"/>
      <c r="D319" s="45"/>
      <c r="E319" s="45"/>
    </row>
    <row r="320" ht="15.75" customHeight="1">
      <c r="C320" s="45"/>
      <c r="D320" s="45"/>
      <c r="E320" s="45"/>
    </row>
    <row r="321" ht="15.75" customHeight="1">
      <c r="C321" s="45"/>
      <c r="D321" s="45"/>
      <c r="E321" s="45"/>
    </row>
    <row r="322" ht="15.75" customHeight="1">
      <c r="C322" s="45"/>
      <c r="D322" s="45"/>
      <c r="E322" s="45"/>
    </row>
    <row r="323" ht="15.75" customHeight="1">
      <c r="C323" s="45"/>
      <c r="D323" s="45"/>
      <c r="E323" s="45"/>
    </row>
    <row r="324" ht="15.75" customHeight="1">
      <c r="C324" s="45"/>
      <c r="D324" s="45"/>
      <c r="E324" s="45"/>
    </row>
    <row r="325" ht="15.75" customHeight="1">
      <c r="C325" s="45"/>
      <c r="D325" s="45"/>
      <c r="E325" s="45"/>
    </row>
    <row r="326" ht="15.75" customHeight="1">
      <c r="C326" s="45"/>
      <c r="D326" s="45"/>
      <c r="E326" s="45"/>
    </row>
    <row r="327" ht="15.75" customHeight="1">
      <c r="C327" s="45"/>
      <c r="D327" s="45"/>
      <c r="E327" s="45"/>
    </row>
    <row r="328" ht="15.75" customHeight="1">
      <c r="C328" s="45"/>
      <c r="D328" s="45"/>
      <c r="E328" s="45"/>
    </row>
    <row r="329" ht="15.75" customHeight="1">
      <c r="C329" s="45"/>
      <c r="D329" s="45"/>
      <c r="E329" s="45"/>
    </row>
    <row r="330" ht="15.75" customHeight="1">
      <c r="C330" s="45"/>
      <c r="D330" s="45"/>
      <c r="E330" s="45"/>
    </row>
    <row r="331" ht="15.75" customHeight="1">
      <c r="C331" s="45"/>
      <c r="D331" s="45"/>
      <c r="E331" s="45"/>
    </row>
    <row r="332" ht="15.75" customHeight="1">
      <c r="C332" s="45"/>
      <c r="D332" s="45"/>
      <c r="E332" s="45"/>
    </row>
    <row r="333" ht="15.75" customHeight="1">
      <c r="C333" s="45"/>
      <c r="D333" s="45"/>
      <c r="E333" s="45"/>
    </row>
    <row r="334" ht="15.75" customHeight="1">
      <c r="C334" s="45"/>
      <c r="D334" s="45"/>
      <c r="E334" s="45"/>
    </row>
    <row r="335" ht="15.75" customHeight="1">
      <c r="C335" s="45"/>
      <c r="D335" s="45"/>
      <c r="E335" s="45"/>
    </row>
    <row r="336" ht="15.75" customHeight="1">
      <c r="C336" s="45"/>
      <c r="D336" s="45"/>
      <c r="E336" s="45"/>
    </row>
    <row r="337" ht="15.75" customHeight="1">
      <c r="C337" s="45"/>
      <c r="D337" s="45"/>
      <c r="E337" s="45"/>
    </row>
    <row r="338" ht="15.75" customHeight="1">
      <c r="C338" s="45"/>
      <c r="D338" s="45"/>
      <c r="E338" s="45"/>
    </row>
    <row r="339" ht="15.75" customHeight="1">
      <c r="C339" s="45"/>
      <c r="D339" s="45"/>
      <c r="E339" s="45"/>
    </row>
    <row r="340" ht="15.75" customHeight="1">
      <c r="C340" s="45"/>
      <c r="D340" s="45"/>
      <c r="E340" s="45"/>
    </row>
    <row r="341" ht="15.75" customHeight="1">
      <c r="C341" s="45"/>
      <c r="D341" s="45"/>
      <c r="E341" s="45"/>
    </row>
    <row r="342" ht="15.75" customHeight="1">
      <c r="C342" s="45"/>
      <c r="D342" s="45"/>
      <c r="E342" s="45"/>
    </row>
    <row r="343" ht="15.75" customHeight="1">
      <c r="C343" s="45"/>
      <c r="D343" s="45"/>
      <c r="E343" s="45"/>
    </row>
    <row r="344" ht="15.75" customHeight="1">
      <c r="C344" s="45"/>
      <c r="D344" s="45"/>
      <c r="E344" s="45"/>
    </row>
    <row r="345" ht="15.75" customHeight="1">
      <c r="C345" s="45"/>
      <c r="D345" s="45"/>
      <c r="E345" s="45"/>
    </row>
    <row r="346" ht="15.75" customHeight="1">
      <c r="C346" s="45"/>
      <c r="D346" s="45"/>
      <c r="E346" s="45"/>
    </row>
    <row r="347" ht="15.75" customHeight="1">
      <c r="C347" s="45"/>
      <c r="D347" s="45"/>
      <c r="E347" s="45"/>
    </row>
    <row r="348" ht="15.75" customHeight="1">
      <c r="C348" s="45"/>
      <c r="D348" s="45"/>
      <c r="E348" s="45"/>
    </row>
    <row r="349" ht="15.75" customHeight="1">
      <c r="C349" s="45"/>
      <c r="D349" s="45"/>
      <c r="E349" s="45"/>
    </row>
    <row r="350" ht="15.75" customHeight="1">
      <c r="C350" s="45"/>
      <c r="D350" s="45"/>
      <c r="E350" s="45"/>
    </row>
    <row r="351" ht="15.75" customHeight="1">
      <c r="C351" s="45"/>
      <c r="D351" s="45"/>
      <c r="E351" s="45"/>
    </row>
    <row r="352" ht="15.75" customHeight="1">
      <c r="C352" s="45"/>
      <c r="D352" s="45"/>
      <c r="E352" s="45"/>
    </row>
    <row r="353" ht="15.75" customHeight="1">
      <c r="C353" s="45"/>
      <c r="D353" s="45"/>
      <c r="E353" s="45"/>
    </row>
    <row r="354" ht="15.75" customHeight="1">
      <c r="C354" s="45"/>
      <c r="D354" s="45"/>
      <c r="E354" s="45"/>
    </row>
    <row r="355" ht="15.75" customHeight="1">
      <c r="C355" s="45"/>
      <c r="D355" s="45"/>
      <c r="E355" s="45"/>
    </row>
    <row r="356" ht="15.75" customHeight="1">
      <c r="C356" s="45"/>
      <c r="D356" s="45"/>
      <c r="E356" s="45"/>
    </row>
    <row r="357" ht="15.75" customHeight="1">
      <c r="C357" s="45"/>
      <c r="D357" s="45"/>
      <c r="E357" s="45"/>
    </row>
    <row r="358" ht="15.75" customHeight="1">
      <c r="C358" s="45"/>
      <c r="D358" s="45"/>
      <c r="E358" s="45"/>
    </row>
    <row r="359" ht="15.75" customHeight="1">
      <c r="C359" s="45"/>
      <c r="D359" s="45"/>
      <c r="E359" s="45"/>
    </row>
    <row r="360" ht="15.75" customHeight="1">
      <c r="C360" s="45"/>
      <c r="D360" s="45"/>
      <c r="E360" s="45"/>
    </row>
    <row r="361" ht="15.75" customHeight="1">
      <c r="C361" s="45"/>
      <c r="D361" s="45"/>
      <c r="E361" s="45"/>
    </row>
    <row r="362" ht="15.75" customHeight="1">
      <c r="C362" s="45"/>
      <c r="D362" s="45"/>
      <c r="E362" s="45"/>
    </row>
    <row r="363" ht="15.75" customHeight="1">
      <c r="C363" s="45"/>
      <c r="D363" s="45"/>
      <c r="E363" s="45"/>
    </row>
    <row r="364" ht="15.75" customHeight="1">
      <c r="C364" s="45"/>
      <c r="D364" s="45"/>
      <c r="E364" s="45"/>
    </row>
    <row r="365" ht="15.75" customHeight="1">
      <c r="C365" s="45"/>
      <c r="D365" s="45"/>
      <c r="E365" s="45"/>
    </row>
    <row r="366" ht="15.75" customHeight="1">
      <c r="C366" s="45"/>
      <c r="D366" s="45"/>
      <c r="E366" s="45"/>
    </row>
    <row r="367" ht="15.75" customHeight="1">
      <c r="C367" s="45"/>
      <c r="D367" s="45"/>
      <c r="E367" s="45"/>
    </row>
    <row r="368" ht="15.75" customHeight="1">
      <c r="C368" s="45"/>
      <c r="D368" s="45"/>
      <c r="E368" s="45"/>
    </row>
    <row r="369" ht="15.75" customHeight="1">
      <c r="C369" s="45"/>
      <c r="D369" s="45"/>
      <c r="E369" s="45"/>
    </row>
    <row r="370" ht="15.75" customHeight="1">
      <c r="C370" s="45"/>
      <c r="D370" s="45"/>
      <c r="E370" s="45"/>
    </row>
    <row r="371" ht="15.75" customHeight="1">
      <c r="C371" s="45"/>
      <c r="D371" s="45"/>
      <c r="E371" s="45"/>
    </row>
    <row r="372" ht="15.75" customHeight="1">
      <c r="C372" s="45"/>
      <c r="D372" s="45"/>
      <c r="E372" s="45"/>
    </row>
    <row r="373" ht="15.75" customHeight="1">
      <c r="C373" s="45"/>
      <c r="D373" s="45"/>
      <c r="E373" s="45"/>
    </row>
    <row r="374" ht="15.75" customHeight="1">
      <c r="C374" s="45"/>
      <c r="D374" s="45"/>
      <c r="E374" s="45"/>
    </row>
    <row r="375" ht="15.75" customHeight="1">
      <c r="C375" s="45"/>
      <c r="D375" s="45"/>
      <c r="E375" s="45"/>
    </row>
    <row r="376" ht="15.75" customHeight="1">
      <c r="C376" s="45"/>
      <c r="D376" s="45"/>
      <c r="E376" s="45"/>
    </row>
    <row r="377" ht="15.75" customHeight="1">
      <c r="C377" s="45"/>
      <c r="D377" s="45"/>
      <c r="E377" s="45"/>
    </row>
    <row r="378" ht="15.75" customHeight="1">
      <c r="C378" s="45"/>
      <c r="D378" s="45"/>
      <c r="E378" s="45"/>
    </row>
    <row r="379" ht="15.75" customHeight="1">
      <c r="C379" s="45"/>
      <c r="D379" s="45"/>
      <c r="E379" s="45"/>
    </row>
    <row r="380" ht="15.75" customHeight="1">
      <c r="C380" s="45"/>
      <c r="D380" s="45"/>
      <c r="E380" s="45"/>
    </row>
    <row r="381" ht="15.75" customHeight="1">
      <c r="C381" s="45"/>
      <c r="D381" s="45"/>
      <c r="E381" s="45"/>
    </row>
    <row r="382" ht="15.75" customHeight="1">
      <c r="C382" s="45"/>
      <c r="D382" s="45"/>
      <c r="E382" s="45"/>
    </row>
    <row r="383" ht="15.75" customHeight="1">
      <c r="C383" s="45"/>
      <c r="D383" s="45"/>
      <c r="E383" s="45"/>
    </row>
    <row r="384" ht="15.75" customHeight="1">
      <c r="C384" s="45"/>
      <c r="D384" s="45"/>
      <c r="E384" s="45"/>
    </row>
    <row r="385" ht="15.75" customHeight="1">
      <c r="C385" s="45"/>
      <c r="D385" s="45"/>
      <c r="E385" s="45"/>
    </row>
    <row r="386" ht="15.75" customHeight="1">
      <c r="C386" s="45"/>
      <c r="D386" s="45"/>
      <c r="E386" s="45"/>
    </row>
    <row r="387" ht="15.75" customHeight="1">
      <c r="C387" s="45"/>
      <c r="D387" s="45"/>
      <c r="E387" s="45"/>
    </row>
    <row r="388" ht="15.75" customHeight="1">
      <c r="C388" s="45"/>
      <c r="D388" s="45"/>
      <c r="E388" s="45"/>
    </row>
    <row r="389" ht="15.75" customHeight="1">
      <c r="C389" s="45"/>
      <c r="D389" s="45"/>
      <c r="E389" s="45"/>
    </row>
    <row r="390" ht="15.75" customHeight="1">
      <c r="C390" s="45"/>
      <c r="D390" s="45"/>
      <c r="E390" s="45"/>
    </row>
    <row r="391" ht="15.75" customHeight="1">
      <c r="C391" s="45"/>
      <c r="D391" s="45"/>
      <c r="E391" s="45"/>
    </row>
    <row r="392" ht="15.75" customHeight="1">
      <c r="C392" s="45"/>
      <c r="D392" s="45"/>
      <c r="E392" s="45"/>
    </row>
    <row r="393" ht="15.75" customHeight="1">
      <c r="C393" s="45"/>
      <c r="D393" s="45"/>
      <c r="E393" s="45"/>
    </row>
    <row r="394" ht="15.75" customHeight="1">
      <c r="C394" s="45"/>
      <c r="D394" s="45"/>
      <c r="E394" s="45"/>
    </row>
    <row r="395" ht="15.75" customHeight="1">
      <c r="C395" s="45"/>
      <c r="D395" s="45"/>
      <c r="E395" s="45"/>
    </row>
    <row r="396" ht="15.75" customHeight="1">
      <c r="C396" s="45"/>
      <c r="D396" s="45"/>
      <c r="E396" s="45"/>
    </row>
    <row r="397" ht="15.75" customHeight="1">
      <c r="C397" s="45"/>
      <c r="D397" s="45"/>
      <c r="E397" s="45"/>
    </row>
    <row r="398" ht="15.75" customHeight="1">
      <c r="C398" s="45"/>
      <c r="D398" s="45"/>
      <c r="E398" s="45"/>
    </row>
    <row r="399" ht="15.75" customHeight="1">
      <c r="C399" s="45"/>
      <c r="D399" s="45"/>
      <c r="E399" s="45"/>
    </row>
    <row r="400" ht="15.75" customHeight="1">
      <c r="C400" s="45"/>
      <c r="D400" s="45"/>
      <c r="E400" s="45"/>
    </row>
    <row r="401" ht="15.75" customHeight="1">
      <c r="C401" s="45"/>
      <c r="D401" s="45"/>
      <c r="E401" s="45"/>
    </row>
    <row r="402" ht="15.75" customHeight="1">
      <c r="C402" s="45"/>
      <c r="D402" s="45"/>
      <c r="E402" s="45"/>
    </row>
    <row r="403" ht="15.75" customHeight="1">
      <c r="C403" s="45"/>
      <c r="D403" s="45"/>
      <c r="E403" s="45"/>
    </row>
    <row r="404" ht="15.75" customHeight="1">
      <c r="C404" s="45"/>
      <c r="D404" s="45"/>
      <c r="E404" s="45"/>
    </row>
    <row r="405" ht="15.75" customHeight="1">
      <c r="C405" s="45"/>
      <c r="D405" s="45"/>
      <c r="E405" s="45"/>
    </row>
    <row r="406" ht="15.75" customHeight="1">
      <c r="C406" s="45"/>
      <c r="D406" s="45"/>
      <c r="E406" s="45"/>
    </row>
    <row r="407" ht="15.75" customHeight="1">
      <c r="C407" s="45"/>
      <c r="D407" s="45"/>
      <c r="E407" s="45"/>
    </row>
    <row r="408" ht="15.75" customHeight="1">
      <c r="C408" s="45"/>
      <c r="D408" s="45"/>
      <c r="E408" s="45"/>
    </row>
    <row r="409" ht="15.75" customHeight="1">
      <c r="C409" s="45"/>
      <c r="D409" s="45"/>
      <c r="E409" s="45"/>
    </row>
    <row r="410" ht="15.75" customHeight="1">
      <c r="C410" s="45"/>
      <c r="D410" s="45"/>
      <c r="E410" s="45"/>
    </row>
    <row r="411" ht="15.75" customHeight="1">
      <c r="C411" s="45"/>
      <c r="D411" s="45"/>
      <c r="E411" s="45"/>
    </row>
    <row r="412" ht="15.75" customHeight="1">
      <c r="C412" s="45"/>
      <c r="D412" s="45"/>
      <c r="E412" s="45"/>
    </row>
    <row r="413" ht="15.75" customHeight="1">
      <c r="C413" s="45"/>
      <c r="D413" s="45"/>
      <c r="E413" s="45"/>
    </row>
    <row r="414" ht="15.75" customHeight="1">
      <c r="C414" s="45"/>
      <c r="D414" s="45"/>
      <c r="E414" s="45"/>
    </row>
    <row r="415" ht="15.75" customHeight="1">
      <c r="C415" s="45"/>
      <c r="D415" s="45"/>
      <c r="E415" s="45"/>
    </row>
    <row r="416" ht="15.75" customHeight="1">
      <c r="C416" s="45"/>
      <c r="D416" s="45"/>
      <c r="E416" s="45"/>
    </row>
    <row r="417" ht="15.75" customHeight="1">
      <c r="C417" s="45"/>
      <c r="D417" s="45"/>
      <c r="E417" s="45"/>
    </row>
    <row r="418" ht="15.75" customHeight="1">
      <c r="C418" s="45"/>
      <c r="D418" s="45"/>
      <c r="E418" s="45"/>
    </row>
    <row r="419" ht="15.75" customHeight="1">
      <c r="C419" s="45"/>
      <c r="D419" s="45"/>
      <c r="E419" s="45"/>
    </row>
    <row r="420" ht="15.75" customHeight="1">
      <c r="C420" s="45"/>
      <c r="D420" s="45"/>
      <c r="E420" s="45"/>
    </row>
    <row r="421" ht="15.75" customHeight="1">
      <c r="C421" s="45"/>
      <c r="D421" s="45"/>
      <c r="E421" s="45"/>
    </row>
    <row r="422" ht="15.75" customHeight="1">
      <c r="C422" s="45"/>
      <c r="D422" s="45"/>
      <c r="E422" s="45"/>
    </row>
    <row r="423" ht="15.75" customHeight="1">
      <c r="C423" s="45"/>
      <c r="D423" s="45"/>
      <c r="E423" s="45"/>
    </row>
    <row r="424" ht="15.75" customHeight="1">
      <c r="C424" s="45"/>
      <c r="D424" s="45"/>
      <c r="E424" s="45"/>
    </row>
    <row r="425" ht="15.75" customHeight="1">
      <c r="C425" s="45"/>
      <c r="D425" s="45"/>
      <c r="E425" s="45"/>
    </row>
    <row r="426" ht="15.75" customHeight="1">
      <c r="C426" s="45"/>
      <c r="D426" s="45"/>
      <c r="E426" s="45"/>
    </row>
    <row r="427" ht="15.75" customHeight="1">
      <c r="C427" s="45"/>
      <c r="D427" s="45"/>
      <c r="E427" s="45"/>
    </row>
    <row r="428" ht="15.75" customHeight="1">
      <c r="C428" s="45"/>
      <c r="D428" s="45"/>
      <c r="E428" s="45"/>
    </row>
    <row r="429" ht="15.75" customHeight="1">
      <c r="C429" s="45"/>
      <c r="D429" s="45"/>
      <c r="E429" s="45"/>
    </row>
    <row r="430" ht="15.75" customHeight="1">
      <c r="C430" s="45"/>
      <c r="D430" s="45"/>
      <c r="E430" s="45"/>
    </row>
    <row r="431" ht="15.75" customHeight="1">
      <c r="C431" s="45"/>
      <c r="D431" s="45"/>
      <c r="E431" s="45"/>
    </row>
    <row r="432" ht="15.75" customHeight="1">
      <c r="C432" s="45"/>
      <c r="D432" s="45"/>
      <c r="E432" s="45"/>
    </row>
    <row r="433" ht="15.75" customHeight="1">
      <c r="C433" s="45"/>
      <c r="D433" s="45"/>
      <c r="E433" s="45"/>
    </row>
    <row r="434" ht="15.75" customHeight="1">
      <c r="C434" s="45"/>
      <c r="D434" s="45"/>
      <c r="E434" s="45"/>
    </row>
    <row r="435" ht="15.75" customHeight="1">
      <c r="C435" s="45"/>
      <c r="D435" s="45"/>
      <c r="E435" s="45"/>
    </row>
    <row r="436" ht="15.75" customHeight="1">
      <c r="C436" s="45"/>
      <c r="D436" s="45"/>
      <c r="E436" s="45"/>
    </row>
    <row r="437" ht="15.75" customHeight="1">
      <c r="C437" s="45"/>
      <c r="D437" s="45"/>
      <c r="E437" s="45"/>
    </row>
    <row r="438" ht="15.75" customHeight="1">
      <c r="C438" s="45"/>
      <c r="D438" s="45"/>
      <c r="E438" s="45"/>
    </row>
    <row r="439" ht="15.75" customHeight="1">
      <c r="C439" s="45"/>
      <c r="D439" s="45"/>
      <c r="E439" s="45"/>
    </row>
    <row r="440" ht="15.75" customHeight="1">
      <c r="C440" s="45"/>
      <c r="D440" s="45"/>
      <c r="E440" s="45"/>
    </row>
    <row r="441" ht="15.75" customHeight="1">
      <c r="C441" s="45"/>
      <c r="D441" s="45"/>
      <c r="E441" s="45"/>
    </row>
    <row r="442" ht="15.75" customHeight="1">
      <c r="C442" s="45"/>
      <c r="D442" s="45"/>
      <c r="E442" s="45"/>
    </row>
    <row r="443" ht="15.75" customHeight="1">
      <c r="C443" s="45"/>
      <c r="D443" s="45"/>
      <c r="E443" s="45"/>
    </row>
    <row r="444" ht="15.75" customHeight="1">
      <c r="C444" s="45"/>
      <c r="D444" s="45"/>
      <c r="E444" s="45"/>
    </row>
    <row r="445" ht="15.75" customHeight="1">
      <c r="C445" s="45"/>
      <c r="D445" s="45"/>
      <c r="E445" s="45"/>
    </row>
    <row r="446" ht="15.75" customHeight="1">
      <c r="C446" s="45"/>
      <c r="D446" s="45"/>
      <c r="E446" s="45"/>
    </row>
    <row r="447" ht="15.75" customHeight="1">
      <c r="C447" s="45"/>
      <c r="D447" s="45"/>
      <c r="E447" s="45"/>
    </row>
    <row r="448" ht="15.75" customHeight="1">
      <c r="C448" s="45"/>
      <c r="D448" s="45"/>
      <c r="E448" s="45"/>
    </row>
    <row r="449" ht="15.75" customHeight="1">
      <c r="C449" s="45"/>
      <c r="D449" s="45"/>
      <c r="E449" s="45"/>
    </row>
    <row r="450" ht="15.75" customHeight="1">
      <c r="C450" s="45"/>
      <c r="D450" s="45"/>
      <c r="E450" s="45"/>
    </row>
    <row r="451" ht="15.75" customHeight="1">
      <c r="C451" s="45"/>
      <c r="D451" s="45"/>
      <c r="E451" s="45"/>
    </row>
    <row r="452" ht="15.75" customHeight="1">
      <c r="C452" s="45"/>
      <c r="D452" s="45"/>
      <c r="E452" s="45"/>
    </row>
    <row r="453" ht="15.75" customHeight="1">
      <c r="C453" s="45"/>
      <c r="D453" s="45"/>
      <c r="E453" s="45"/>
    </row>
    <row r="454" ht="15.75" customHeight="1">
      <c r="C454" s="45"/>
      <c r="D454" s="45"/>
      <c r="E454" s="45"/>
    </row>
    <row r="455" ht="15.75" customHeight="1">
      <c r="C455" s="45"/>
      <c r="D455" s="45"/>
      <c r="E455" s="45"/>
    </row>
    <row r="456" ht="15.75" customHeight="1">
      <c r="C456" s="45"/>
      <c r="D456" s="45"/>
      <c r="E456" s="45"/>
    </row>
    <row r="457" ht="15.75" customHeight="1">
      <c r="C457" s="45"/>
      <c r="D457" s="45"/>
      <c r="E457" s="45"/>
    </row>
    <row r="458" ht="15.75" customHeight="1">
      <c r="C458" s="45"/>
      <c r="D458" s="45"/>
      <c r="E458" s="45"/>
    </row>
    <row r="459" ht="15.75" customHeight="1">
      <c r="C459" s="45"/>
      <c r="D459" s="45"/>
      <c r="E459" s="45"/>
    </row>
    <row r="460" ht="15.75" customHeight="1">
      <c r="C460" s="45"/>
      <c r="D460" s="45"/>
      <c r="E460" s="45"/>
    </row>
    <row r="461" ht="15.75" customHeight="1">
      <c r="C461" s="45"/>
      <c r="D461" s="45"/>
      <c r="E461" s="45"/>
    </row>
    <row r="462" ht="15.75" customHeight="1">
      <c r="C462" s="45"/>
      <c r="D462" s="45"/>
      <c r="E462" s="45"/>
    </row>
    <row r="463" ht="15.75" customHeight="1">
      <c r="C463" s="45"/>
      <c r="D463" s="45"/>
      <c r="E463" s="45"/>
    </row>
    <row r="464" ht="15.75" customHeight="1">
      <c r="C464" s="45"/>
      <c r="D464" s="45"/>
      <c r="E464" s="45"/>
    </row>
    <row r="465" ht="15.75" customHeight="1">
      <c r="C465" s="45"/>
      <c r="D465" s="45"/>
      <c r="E465" s="45"/>
    </row>
    <row r="466" ht="15.75" customHeight="1">
      <c r="C466" s="45"/>
      <c r="D466" s="45"/>
      <c r="E466" s="45"/>
    </row>
    <row r="467" ht="15.75" customHeight="1">
      <c r="C467" s="45"/>
      <c r="D467" s="45"/>
      <c r="E467" s="45"/>
    </row>
    <row r="468" ht="15.75" customHeight="1">
      <c r="C468" s="45"/>
      <c r="D468" s="45"/>
      <c r="E468" s="45"/>
    </row>
    <row r="469" ht="15.75" customHeight="1">
      <c r="C469" s="45"/>
      <c r="D469" s="45"/>
      <c r="E469" s="45"/>
    </row>
    <row r="470" ht="15.75" customHeight="1">
      <c r="C470" s="45"/>
      <c r="D470" s="45"/>
      <c r="E470" s="45"/>
    </row>
    <row r="471" ht="15.75" customHeight="1">
      <c r="C471" s="45"/>
      <c r="D471" s="45"/>
      <c r="E471" s="45"/>
    </row>
    <row r="472" ht="15.75" customHeight="1">
      <c r="C472" s="45"/>
      <c r="D472" s="45"/>
      <c r="E472" s="45"/>
    </row>
    <row r="473" ht="15.75" customHeight="1">
      <c r="C473" s="45"/>
      <c r="D473" s="45"/>
      <c r="E473" s="45"/>
    </row>
    <row r="474" ht="15.75" customHeight="1">
      <c r="C474" s="45"/>
      <c r="D474" s="45"/>
      <c r="E474" s="45"/>
    </row>
    <row r="475" ht="15.75" customHeight="1">
      <c r="C475" s="45"/>
      <c r="D475" s="45"/>
      <c r="E475" s="45"/>
    </row>
    <row r="476" ht="15.75" customHeight="1">
      <c r="C476" s="45"/>
      <c r="D476" s="45"/>
      <c r="E476" s="45"/>
    </row>
    <row r="477" ht="15.75" customHeight="1">
      <c r="C477" s="45"/>
      <c r="D477" s="45"/>
      <c r="E477" s="45"/>
    </row>
    <row r="478" ht="15.75" customHeight="1">
      <c r="C478" s="45"/>
      <c r="D478" s="45"/>
      <c r="E478" s="45"/>
    </row>
    <row r="479" ht="15.75" customHeight="1">
      <c r="C479" s="45"/>
      <c r="D479" s="45"/>
      <c r="E479" s="45"/>
    </row>
    <row r="480" ht="15.75" customHeight="1">
      <c r="C480" s="45"/>
      <c r="D480" s="45"/>
      <c r="E480" s="45"/>
    </row>
    <row r="481" ht="15.75" customHeight="1">
      <c r="C481" s="45"/>
      <c r="D481" s="45"/>
      <c r="E481" s="45"/>
    </row>
    <row r="482" ht="15.75" customHeight="1">
      <c r="C482" s="45"/>
      <c r="D482" s="45"/>
      <c r="E482" s="45"/>
    </row>
    <row r="483" ht="15.75" customHeight="1">
      <c r="C483" s="45"/>
      <c r="D483" s="45"/>
      <c r="E483" s="45"/>
    </row>
    <row r="484" ht="15.75" customHeight="1">
      <c r="C484" s="45"/>
      <c r="D484" s="45"/>
      <c r="E484" s="45"/>
    </row>
    <row r="485" ht="15.75" customHeight="1">
      <c r="C485" s="45"/>
      <c r="D485" s="45"/>
      <c r="E485" s="45"/>
    </row>
    <row r="486" ht="15.75" customHeight="1">
      <c r="C486" s="45"/>
      <c r="D486" s="45"/>
      <c r="E486" s="45"/>
    </row>
    <row r="487" ht="15.75" customHeight="1">
      <c r="C487" s="45"/>
      <c r="D487" s="45"/>
      <c r="E487" s="45"/>
    </row>
    <row r="488" ht="15.75" customHeight="1">
      <c r="C488" s="45"/>
      <c r="D488" s="45"/>
      <c r="E488" s="45"/>
    </row>
    <row r="489" ht="15.75" customHeight="1">
      <c r="C489" s="45"/>
      <c r="D489" s="45"/>
      <c r="E489" s="45"/>
    </row>
    <row r="490" ht="15.75" customHeight="1">
      <c r="C490" s="45"/>
      <c r="D490" s="45"/>
      <c r="E490" s="45"/>
    </row>
    <row r="491" ht="15.75" customHeight="1">
      <c r="C491" s="45"/>
      <c r="D491" s="45"/>
      <c r="E491" s="45"/>
    </row>
    <row r="492" ht="15.75" customHeight="1">
      <c r="C492" s="45"/>
      <c r="D492" s="45"/>
      <c r="E492" s="45"/>
    </row>
    <row r="493" ht="15.75" customHeight="1">
      <c r="C493" s="45"/>
      <c r="D493" s="45"/>
      <c r="E493" s="45"/>
    </row>
    <row r="494" ht="15.75" customHeight="1">
      <c r="C494" s="45"/>
      <c r="D494" s="45"/>
      <c r="E494" s="45"/>
    </row>
    <row r="495" ht="15.75" customHeight="1">
      <c r="C495" s="45"/>
      <c r="D495" s="45"/>
      <c r="E495" s="45"/>
    </row>
    <row r="496" ht="15.75" customHeight="1">
      <c r="C496" s="45"/>
      <c r="D496" s="45"/>
      <c r="E496" s="45"/>
    </row>
    <row r="497" ht="15.75" customHeight="1">
      <c r="C497" s="45"/>
      <c r="D497" s="45"/>
      <c r="E497" s="45"/>
    </row>
    <row r="498" ht="15.75" customHeight="1">
      <c r="C498" s="45"/>
      <c r="D498" s="45"/>
      <c r="E498" s="45"/>
    </row>
    <row r="499" ht="15.75" customHeight="1">
      <c r="C499" s="45"/>
      <c r="D499" s="45"/>
      <c r="E499" s="45"/>
    </row>
    <row r="500" ht="15.75" customHeight="1">
      <c r="C500" s="45"/>
      <c r="D500" s="45"/>
      <c r="E500" s="45"/>
    </row>
    <row r="501" ht="15.75" customHeight="1">
      <c r="C501" s="45"/>
      <c r="D501" s="45"/>
      <c r="E501" s="45"/>
    </row>
    <row r="502" ht="15.75" customHeight="1">
      <c r="C502" s="45"/>
      <c r="D502" s="45"/>
      <c r="E502" s="45"/>
    </row>
    <row r="503" ht="15.75" customHeight="1">
      <c r="C503" s="45"/>
      <c r="D503" s="45"/>
      <c r="E503" s="45"/>
    </row>
    <row r="504" ht="15.75" customHeight="1">
      <c r="C504" s="45"/>
      <c r="D504" s="45"/>
      <c r="E504" s="45"/>
    </row>
    <row r="505" ht="15.75" customHeight="1">
      <c r="C505" s="45"/>
      <c r="D505" s="45"/>
      <c r="E505" s="45"/>
    </row>
    <row r="506" ht="15.75" customHeight="1">
      <c r="C506" s="45"/>
      <c r="D506" s="45"/>
      <c r="E506" s="45"/>
    </row>
    <row r="507" ht="15.75" customHeight="1">
      <c r="C507" s="45"/>
      <c r="D507" s="45"/>
      <c r="E507" s="45"/>
    </row>
    <row r="508" ht="15.75" customHeight="1">
      <c r="C508" s="45"/>
      <c r="D508" s="45"/>
      <c r="E508" s="45"/>
    </row>
    <row r="509" ht="15.75" customHeight="1">
      <c r="C509" s="45"/>
      <c r="D509" s="45"/>
      <c r="E509" s="45"/>
    </row>
    <row r="510" ht="15.75" customHeight="1">
      <c r="C510" s="45"/>
      <c r="D510" s="45"/>
      <c r="E510" s="45"/>
    </row>
    <row r="511" ht="15.75" customHeight="1">
      <c r="C511" s="45"/>
      <c r="D511" s="45"/>
      <c r="E511" s="45"/>
    </row>
    <row r="512" ht="15.75" customHeight="1">
      <c r="C512" s="45"/>
      <c r="D512" s="45"/>
      <c r="E512" s="45"/>
    </row>
    <row r="513" ht="15.75" customHeight="1">
      <c r="C513" s="45"/>
      <c r="D513" s="45"/>
      <c r="E513" s="45"/>
    </row>
    <row r="514" ht="15.75" customHeight="1">
      <c r="C514" s="45"/>
      <c r="D514" s="45"/>
      <c r="E514" s="45"/>
    </row>
    <row r="515" ht="15.75" customHeight="1">
      <c r="C515" s="45"/>
      <c r="D515" s="45"/>
      <c r="E515" s="45"/>
    </row>
    <row r="516" ht="15.75" customHeight="1">
      <c r="C516" s="45"/>
      <c r="D516" s="45"/>
      <c r="E516" s="45"/>
    </row>
    <row r="517" ht="15.75" customHeight="1">
      <c r="C517" s="45"/>
      <c r="D517" s="45"/>
      <c r="E517" s="45"/>
    </row>
    <row r="518" ht="15.75" customHeight="1">
      <c r="C518" s="45"/>
      <c r="D518" s="45"/>
      <c r="E518" s="45"/>
    </row>
    <row r="519" ht="15.75" customHeight="1">
      <c r="C519" s="45"/>
      <c r="D519" s="45"/>
      <c r="E519" s="45"/>
    </row>
    <row r="520" ht="15.75" customHeight="1">
      <c r="C520" s="45"/>
      <c r="D520" s="45"/>
      <c r="E520" s="45"/>
    </row>
    <row r="521" ht="15.75" customHeight="1">
      <c r="C521" s="45"/>
      <c r="D521" s="45"/>
      <c r="E521" s="45"/>
    </row>
    <row r="522" ht="15.75" customHeight="1">
      <c r="C522" s="45"/>
      <c r="D522" s="45"/>
      <c r="E522" s="45"/>
    </row>
    <row r="523" ht="15.75" customHeight="1">
      <c r="C523" s="45"/>
      <c r="D523" s="45"/>
      <c r="E523" s="45"/>
    </row>
    <row r="524" ht="15.75" customHeight="1">
      <c r="C524" s="45"/>
      <c r="D524" s="45"/>
      <c r="E524" s="45"/>
    </row>
    <row r="525" ht="15.75" customHeight="1">
      <c r="C525" s="45"/>
      <c r="D525" s="45"/>
      <c r="E525" s="45"/>
    </row>
    <row r="526" ht="15.75" customHeight="1">
      <c r="C526" s="45"/>
      <c r="D526" s="45"/>
      <c r="E526" s="45"/>
    </row>
    <row r="527" ht="15.75" customHeight="1">
      <c r="C527" s="45"/>
      <c r="D527" s="45"/>
      <c r="E527" s="45"/>
    </row>
    <row r="528" ht="15.75" customHeight="1">
      <c r="C528" s="45"/>
      <c r="D528" s="45"/>
      <c r="E528" s="45"/>
    </row>
    <row r="529" ht="15.75" customHeight="1">
      <c r="C529" s="45"/>
      <c r="D529" s="45"/>
      <c r="E529" s="45"/>
    </row>
    <row r="530" ht="15.75" customHeight="1">
      <c r="C530" s="45"/>
      <c r="D530" s="45"/>
      <c r="E530" s="45"/>
    </row>
    <row r="531" ht="15.75" customHeight="1">
      <c r="C531" s="45"/>
      <c r="D531" s="45"/>
      <c r="E531" s="45"/>
    </row>
    <row r="532" ht="15.75" customHeight="1">
      <c r="C532" s="45"/>
      <c r="D532" s="45"/>
      <c r="E532" s="45"/>
    </row>
    <row r="533" ht="15.75" customHeight="1">
      <c r="C533" s="45"/>
      <c r="D533" s="45"/>
      <c r="E533" s="45"/>
    </row>
    <row r="534" ht="15.75" customHeight="1">
      <c r="C534" s="45"/>
      <c r="D534" s="45"/>
      <c r="E534" s="45"/>
    </row>
    <row r="535" ht="15.75" customHeight="1">
      <c r="C535" s="45"/>
      <c r="D535" s="45"/>
      <c r="E535" s="45"/>
    </row>
    <row r="536" ht="15.75" customHeight="1">
      <c r="C536" s="45"/>
      <c r="D536" s="45"/>
      <c r="E536" s="45"/>
    </row>
    <row r="537" ht="15.75" customHeight="1">
      <c r="C537" s="45"/>
      <c r="D537" s="45"/>
      <c r="E537" s="45"/>
    </row>
    <row r="538" ht="15.75" customHeight="1">
      <c r="C538" s="45"/>
      <c r="D538" s="45"/>
      <c r="E538" s="45"/>
    </row>
    <row r="539" ht="15.75" customHeight="1">
      <c r="C539" s="45"/>
      <c r="D539" s="45"/>
      <c r="E539" s="45"/>
    </row>
    <row r="540" ht="15.75" customHeight="1">
      <c r="C540" s="45"/>
      <c r="D540" s="45"/>
      <c r="E540" s="45"/>
    </row>
    <row r="541" ht="15.75" customHeight="1">
      <c r="C541" s="45"/>
      <c r="D541" s="45"/>
      <c r="E541" s="45"/>
    </row>
    <row r="542" ht="15.75" customHeight="1">
      <c r="C542" s="45"/>
      <c r="D542" s="45"/>
      <c r="E542" s="45"/>
    </row>
    <row r="543" ht="15.75" customHeight="1">
      <c r="C543" s="45"/>
      <c r="D543" s="45"/>
      <c r="E543" s="45"/>
    </row>
    <row r="544" ht="15.75" customHeight="1">
      <c r="C544" s="45"/>
      <c r="D544" s="45"/>
      <c r="E544" s="45"/>
    </row>
    <row r="545" ht="15.75" customHeight="1">
      <c r="C545" s="45"/>
      <c r="D545" s="45"/>
      <c r="E545" s="45"/>
    </row>
    <row r="546" ht="15.75" customHeight="1">
      <c r="C546" s="45"/>
      <c r="D546" s="45"/>
      <c r="E546" s="45"/>
    </row>
    <row r="547" ht="15.75" customHeight="1">
      <c r="C547" s="45"/>
      <c r="D547" s="45"/>
      <c r="E547" s="45"/>
    </row>
    <row r="548" ht="15.75" customHeight="1">
      <c r="C548" s="45"/>
      <c r="D548" s="45"/>
      <c r="E548" s="45"/>
    </row>
    <row r="549" ht="15.75" customHeight="1">
      <c r="C549" s="45"/>
      <c r="D549" s="45"/>
      <c r="E549" s="45"/>
    </row>
    <row r="550" ht="15.75" customHeight="1">
      <c r="C550" s="45"/>
      <c r="D550" s="45"/>
      <c r="E550" s="45"/>
    </row>
    <row r="551" ht="15.75" customHeight="1">
      <c r="C551" s="45"/>
      <c r="D551" s="45"/>
      <c r="E551" s="45"/>
    </row>
    <row r="552" ht="15.75" customHeight="1">
      <c r="C552" s="45"/>
      <c r="D552" s="45"/>
      <c r="E552" s="45"/>
    </row>
    <row r="553" ht="15.75" customHeight="1">
      <c r="C553" s="45"/>
      <c r="D553" s="45"/>
      <c r="E553" s="45"/>
    </row>
    <row r="554" ht="15.75" customHeight="1">
      <c r="C554" s="45"/>
      <c r="D554" s="45"/>
      <c r="E554" s="45"/>
    </row>
    <row r="555" ht="15.75" customHeight="1">
      <c r="C555" s="45"/>
      <c r="D555" s="45"/>
      <c r="E555" s="45"/>
    </row>
    <row r="556" ht="15.75" customHeight="1">
      <c r="C556" s="45"/>
      <c r="D556" s="45"/>
      <c r="E556" s="45"/>
    </row>
    <row r="557" ht="15.75" customHeight="1">
      <c r="C557" s="45"/>
      <c r="D557" s="45"/>
      <c r="E557" s="45"/>
    </row>
    <row r="558" ht="15.75" customHeight="1">
      <c r="C558" s="45"/>
      <c r="D558" s="45"/>
      <c r="E558" s="45"/>
    </row>
    <row r="559" ht="15.75" customHeight="1">
      <c r="C559" s="45"/>
      <c r="D559" s="45"/>
      <c r="E559" s="45"/>
    </row>
    <row r="560" ht="15.75" customHeight="1">
      <c r="C560" s="45"/>
      <c r="D560" s="45"/>
      <c r="E560" s="45"/>
    </row>
    <row r="561" ht="15.75" customHeight="1">
      <c r="C561" s="45"/>
      <c r="D561" s="45"/>
      <c r="E561" s="45"/>
    </row>
    <row r="562" ht="15.75" customHeight="1">
      <c r="C562" s="45"/>
      <c r="D562" s="45"/>
      <c r="E562" s="45"/>
    </row>
    <row r="563" ht="15.75" customHeight="1">
      <c r="C563" s="45"/>
      <c r="D563" s="45"/>
      <c r="E563" s="45"/>
    </row>
    <row r="564" ht="15.75" customHeight="1">
      <c r="C564" s="45"/>
      <c r="D564" s="45"/>
      <c r="E564" s="45"/>
    </row>
    <row r="565" ht="15.75" customHeight="1">
      <c r="C565" s="45"/>
      <c r="D565" s="45"/>
      <c r="E565" s="45"/>
    </row>
    <row r="566" ht="15.75" customHeight="1">
      <c r="C566" s="45"/>
      <c r="D566" s="45"/>
      <c r="E566" s="45"/>
    </row>
    <row r="567" ht="15.75" customHeight="1">
      <c r="C567" s="45"/>
      <c r="D567" s="45"/>
      <c r="E567" s="45"/>
    </row>
    <row r="568" ht="15.75" customHeight="1">
      <c r="C568" s="45"/>
      <c r="D568" s="45"/>
      <c r="E568" s="45"/>
    </row>
    <row r="569" ht="15.75" customHeight="1">
      <c r="C569" s="45"/>
      <c r="D569" s="45"/>
      <c r="E569" s="45"/>
    </row>
    <row r="570" ht="15.75" customHeight="1">
      <c r="C570" s="45"/>
      <c r="D570" s="45"/>
      <c r="E570" s="45"/>
    </row>
    <row r="571" ht="15.75" customHeight="1">
      <c r="C571" s="45"/>
      <c r="D571" s="45"/>
      <c r="E571" s="45"/>
    </row>
    <row r="572" ht="15.75" customHeight="1">
      <c r="C572" s="45"/>
      <c r="D572" s="45"/>
      <c r="E572" s="45"/>
    </row>
    <row r="573" ht="15.75" customHeight="1">
      <c r="C573" s="45"/>
      <c r="D573" s="45"/>
      <c r="E573" s="45"/>
    </row>
    <row r="574" ht="15.75" customHeight="1">
      <c r="C574" s="45"/>
      <c r="D574" s="45"/>
      <c r="E574" s="45"/>
    </row>
    <row r="575" ht="15.75" customHeight="1">
      <c r="C575" s="45"/>
      <c r="D575" s="45"/>
      <c r="E575" s="45"/>
    </row>
    <row r="576" ht="15.75" customHeight="1">
      <c r="C576" s="45"/>
      <c r="D576" s="45"/>
      <c r="E576" s="45"/>
    </row>
    <row r="577" ht="15.75" customHeight="1">
      <c r="C577" s="45"/>
      <c r="D577" s="45"/>
      <c r="E577" s="45"/>
    </row>
    <row r="578" ht="15.75" customHeight="1">
      <c r="C578" s="45"/>
      <c r="D578" s="45"/>
      <c r="E578" s="45"/>
    </row>
    <row r="579" ht="15.75" customHeight="1">
      <c r="C579" s="45"/>
      <c r="D579" s="45"/>
      <c r="E579" s="45"/>
    </row>
    <row r="580" ht="15.75" customHeight="1">
      <c r="C580" s="45"/>
      <c r="D580" s="45"/>
      <c r="E580" s="45"/>
    </row>
    <row r="581" ht="15.75" customHeight="1">
      <c r="C581" s="45"/>
      <c r="D581" s="45"/>
      <c r="E581" s="45"/>
    </row>
    <row r="582" ht="15.75" customHeight="1">
      <c r="C582" s="45"/>
      <c r="D582" s="45"/>
      <c r="E582" s="45"/>
    </row>
    <row r="583" ht="15.75" customHeight="1">
      <c r="C583" s="45"/>
      <c r="D583" s="45"/>
      <c r="E583" s="45"/>
    </row>
    <row r="584" ht="15.75" customHeight="1">
      <c r="C584" s="45"/>
      <c r="D584" s="45"/>
      <c r="E584" s="45"/>
    </row>
    <row r="585" ht="15.75" customHeight="1">
      <c r="C585" s="45"/>
      <c r="D585" s="45"/>
      <c r="E585" s="45"/>
    </row>
    <row r="586" ht="15.75" customHeight="1">
      <c r="C586" s="45"/>
      <c r="D586" s="45"/>
      <c r="E586" s="45"/>
    </row>
    <row r="587" ht="15.75" customHeight="1">
      <c r="C587" s="45"/>
      <c r="D587" s="45"/>
      <c r="E587" s="45"/>
    </row>
    <row r="588" ht="15.75" customHeight="1">
      <c r="C588" s="45"/>
      <c r="D588" s="45"/>
      <c r="E588" s="45"/>
    </row>
    <row r="589" ht="15.75" customHeight="1">
      <c r="C589" s="45"/>
      <c r="D589" s="45"/>
      <c r="E589" s="45"/>
    </row>
    <row r="590" ht="15.75" customHeight="1">
      <c r="C590" s="45"/>
      <c r="D590" s="45"/>
      <c r="E590" s="45"/>
    </row>
    <row r="591" ht="15.75" customHeight="1">
      <c r="C591" s="45"/>
      <c r="D591" s="45"/>
      <c r="E591" s="45"/>
    </row>
    <row r="592" ht="15.75" customHeight="1">
      <c r="C592" s="45"/>
      <c r="D592" s="45"/>
      <c r="E592" s="45"/>
    </row>
    <row r="593" ht="15.75" customHeight="1">
      <c r="C593" s="45"/>
      <c r="D593" s="45"/>
      <c r="E593" s="45"/>
    </row>
    <row r="594" ht="15.75" customHeight="1">
      <c r="C594" s="45"/>
      <c r="D594" s="45"/>
      <c r="E594" s="45"/>
    </row>
    <row r="595" ht="15.75" customHeight="1">
      <c r="C595" s="45"/>
      <c r="D595" s="45"/>
      <c r="E595" s="45"/>
    </row>
    <row r="596" ht="15.75" customHeight="1">
      <c r="C596" s="45"/>
      <c r="D596" s="45"/>
      <c r="E596" s="45"/>
    </row>
    <row r="597" ht="15.75" customHeight="1">
      <c r="C597" s="45"/>
      <c r="D597" s="45"/>
      <c r="E597" s="45"/>
    </row>
    <row r="598" ht="15.75" customHeight="1">
      <c r="C598" s="45"/>
      <c r="D598" s="45"/>
      <c r="E598" s="45"/>
    </row>
    <row r="599" ht="15.75" customHeight="1">
      <c r="C599" s="45"/>
      <c r="D599" s="45"/>
      <c r="E599" s="45"/>
    </row>
    <row r="600" ht="15.75" customHeight="1">
      <c r="C600" s="45"/>
      <c r="D600" s="45"/>
      <c r="E600" s="45"/>
    </row>
    <row r="601" ht="15.75" customHeight="1">
      <c r="C601" s="45"/>
      <c r="D601" s="45"/>
      <c r="E601" s="45"/>
    </row>
    <row r="602" ht="15.75" customHeight="1">
      <c r="C602" s="45"/>
      <c r="D602" s="45"/>
      <c r="E602" s="45"/>
    </row>
    <row r="603" ht="15.75" customHeight="1">
      <c r="C603" s="45"/>
      <c r="D603" s="45"/>
      <c r="E603" s="45"/>
    </row>
    <row r="604" ht="15.75" customHeight="1">
      <c r="C604" s="45"/>
      <c r="D604" s="45"/>
      <c r="E604" s="45"/>
    </row>
    <row r="605" ht="15.75" customHeight="1">
      <c r="C605" s="45"/>
      <c r="D605" s="45"/>
      <c r="E605" s="45"/>
    </row>
    <row r="606" ht="15.75" customHeight="1">
      <c r="C606" s="45"/>
      <c r="D606" s="45"/>
      <c r="E606" s="45"/>
    </row>
    <row r="607" ht="15.75" customHeight="1">
      <c r="C607" s="45"/>
      <c r="D607" s="45"/>
      <c r="E607" s="45"/>
    </row>
    <row r="608" ht="15.75" customHeight="1">
      <c r="C608" s="45"/>
      <c r="D608" s="45"/>
      <c r="E608" s="45"/>
    </row>
    <row r="609" ht="15.75" customHeight="1">
      <c r="C609" s="45"/>
      <c r="D609" s="45"/>
      <c r="E609" s="45"/>
    </row>
    <row r="610" ht="15.75" customHeight="1">
      <c r="C610" s="45"/>
      <c r="D610" s="45"/>
      <c r="E610" s="45"/>
    </row>
    <row r="611" ht="15.75" customHeight="1">
      <c r="C611" s="45"/>
      <c r="D611" s="45"/>
      <c r="E611" s="45"/>
    </row>
    <row r="612" ht="15.75" customHeight="1">
      <c r="C612" s="45"/>
      <c r="D612" s="45"/>
      <c r="E612" s="45"/>
    </row>
    <row r="613" ht="15.75" customHeight="1">
      <c r="C613" s="45"/>
      <c r="D613" s="45"/>
      <c r="E613" s="45"/>
    </row>
    <row r="614" ht="15.75" customHeight="1">
      <c r="C614" s="45"/>
      <c r="D614" s="45"/>
      <c r="E614" s="45"/>
    </row>
    <row r="615" ht="15.75" customHeight="1">
      <c r="C615" s="45"/>
      <c r="D615" s="45"/>
      <c r="E615" s="45"/>
    </row>
    <row r="616" ht="15.75" customHeight="1">
      <c r="C616" s="45"/>
      <c r="D616" s="45"/>
      <c r="E616" s="45"/>
    </row>
    <row r="617" ht="15.75" customHeight="1">
      <c r="C617" s="45"/>
      <c r="D617" s="45"/>
      <c r="E617" s="45"/>
    </row>
    <row r="618" ht="15.75" customHeight="1">
      <c r="C618" s="45"/>
      <c r="D618" s="45"/>
      <c r="E618" s="45"/>
    </row>
    <row r="619" ht="15.75" customHeight="1">
      <c r="C619" s="45"/>
      <c r="D619" s="45"/>
      <c r="E619" s="45"/>
    </row>
    <row r="620" ht="15.75" customHeight="1">
      <c r="C620" s="45"/>
      <c r="D620" s="45"/>
      <c r="E620" s="45"/>
    </row>
    <row r="621" ht="15.75" customHeight="1">
      <c r="C621" s="45"/>
      <c r="D621" s="45"/>
      <c r="E621" s="45"/>
    </row>
    <row r="622" ht="15.75" customHeight="1">
      <c r="C622" s="45"/>
      <c r="D622" s="45"/>
      <c r="E622" s="45"/>
    </row>
    <row r="623" ht="15.75" customHeight="1">
      <c r="C623" s="45"/>
      <c r="D623" s="45"/>
      <c r="E623" s="45"/>
    </row>
    <row r="624" ht="15.75" customHeight="1">
      <c r="C624" s="45"/>
      <c r="D624" s="45"/>
      <c r="E624" s="45"/>
    </row>
    <row r="625" ht="15.75" customHeight="1">
      <c r="C625" s="45"/>
      <c r="D625" s="45"/>
      <c r="E625" s="45"/>
    </row>
    <row r="626" ht="15.75" customHeight="1">
      <c r="C626" s="45"/>
      <c r="D626" s="45"/>
      <c r="E626" s="45"/>
    </row>
    <row r="627" ht="15.75" customHeight="1">
      <c r="C627" s="45"/>
      <c r="D627" s="45"/>
      <c r="E627" s="45"/>
    </row>
    <row r="628" ht="15.75" customHeight="1">
      <c r="C628" s="45"/>
      <c r="D628" s="45"/>
      <c r="E628" s="45"/>
    </row>
    <row r="629" ht="15.75" customHeight="1">
      <c r="C629" s="45"/>
      <c r="D629" s="45"/>
      <c r="E629" s="45"/>
    </row>
    <row r="630" ht="15.75" customHeight="1">
      <c r="C630" s="45"/>
      <c r="D630" s="45"/>
      <c r="E630" s="45"/>
    </row>
    <row r="631" ht="15.75" customHeight="1">
      <c r="C631" s="45"/>
      <c r="D631" s="45"/>
      <c r="E631" s="45"/>
    </row>
    <row r="632" ht="15.75" customHeight="1">
      <c r="C632" s="45"/>
      <c r="D632" s="45"/>
      <c r="E632" s="45"/>
    </row>
    <row r="633" ht="15.75" customHeight="1">
      <c r="C633" s="45"/>
      <c r="D633" s="45"/>
      <c r="E633" s="45"/>
    </row>
    <row r="634" ht="15.75" customHeight="1">
      <c r="C634" s="45"/>
      <c r="D634" s="45"/>
      <c r="E634" s="45"/>
    </row>
    <row r="635" ht="15.75" customHeight="1">
      <c r="C635" s="45"/>
      <c r="D635" s="45"/>
      <c r="E635" s="45"/>
    </row>
    <row r="636" ht="15.75" customHeight="1">
      <c r="C636" s="45"/>
      <c r="D636" s="45"/>
      <c r="E636" s="45"/>
    </row>
    <row r="637" ht="15.75" customHeight="1">
      <c r="C637" s="45"/>
      <c r="D637" s="45"/>
      <c r="E637" s="45"/>
    </row>
    <row r="638" ht="15.75" customHeight="1">
      <c r="C638" s="45"/>
      <c r="D638" s="45"/>
      <c r="E638" s="45"/>
    </row>
    <row r="639" ht="15.75" customHeight="1">
      <c r="C639" s="45"/>
      <c r="D639" s="45"/>
      <c r="E639" s="45"/>
    </row>
    <row r="640" ht="15.75" customHeight="1">
      <c r="C640" s="45"/>
      <c r="D640" s="45"/>
      <c r="E640" s="45"/>
    </row>
    <row r="641" ht="15.75" customHeight="1">
      <c r="C641" s="45"/>
      <c r="D641" s="45"/>
      <c r="E641" s="45"/>
    </row>
    <row r="642" ht="15.75" customHeight="1">
      <c r="C642" s="45"/>
      <c r="D642" s="45"/>
      <c r="E642" s="45"/>
    </row>
    <row r="643" ht="15.75" customHeight="1">
      <c r="C643" s="45"/>
      <c r="D643" s="45"/>
      <c r="E643" s="45"/>
    </row>
    <row r="644" ht="15.75" customHeight="1">
      <c r="C644" s="45"/>
      <c r="D644" s="45"/>
      <c r="E644" s="45"/>
    </row>
    <row r="645" ht="15.75" customHeight="1">
      <c r="C645" s="45"/>
      <c r="D645" s="45"/>
      <c r="E645" s="45"/>
    </row>
    <row r="646" ht="15.75" customHeight="1">
      <c r="C646" s="45"/>
      <c r="D646" s="45"/>
      <c r="E646" s="45"/>
    </row>
    <row r="647" ht="15.75" customHeight="1">
      <c r="C647" s="45"/>
      <c r="D647" s="45"/>
      <c r="E647" s="45"/>
    </row>
    <row r="648" ht="15.75" customHeight="1">
      <c r="C648" s="45"/>
      <c r="D648" s="45"/>
      <c r="E648" s="45"/>
    </row>
    <row r="649" ht="15.75" customHeight="1">
      <c r="C649" s="45"/>
      <c r="D649" s="45"/>
      <c r="E649" s="45"/>
    </row>
    <row r="650" ht="15.75" customHeight="1">
      <c r="C650" s="45"/>
      <c r="D650" s="45"/>
      <c r="E650" s="45"/>
    </row>
    <row r="651" ht="15.75" customHeight="1">
      <c r="C651" s="45"/>
      <c r="D651" s="45"/>
      <c r="E651" s="45"/>
    </row>
    <row r="652" ht="15.75" customHeight="1">
      <c r="C652" s="45"/>
      <c r="D652" s="45"/>
      <c r="E652" s="45"/>
    </row>
    <row r="653" ht="15.75" customHeight="1">
      <c r="C653" s="45"/>
      <c r="D653" s="45"/>
      <c r="E653" s="45"/>
    </row>
    <row r="654" ht="15.75" customHeight="1">
      <c r="C654" s="45"/>
      <c r="D654" s="45"/>
      <c r="E654" s="45"/>
    </row>
    <row r="655" ht="15.75" customHeight="1">
      <c r="C655" s="45"/>
      <c r="D655" s="45"/>
      <c r="E655" s="45"/>
    </row>
    <row r="656" ht="15.75" customHeight="1">
      <c r="C656" s="45"/>
      <c r="D656" s="45"/>
      <c r="E656" s="45"/>
    </row>
    <row r="657" ht="15.75" customHeight="1">
      <c r="C657" s="45"/>
      <c r="D657" s="45"/>
      <c r="E657" s="45"/>
    </row>
    <row r="658" ht="15.75" customHeight="1">
      <c r="C658" s="45"/>
      <c r="D658" s="45"/>
      <c r="E658" s="45"/>
    </row>
    <row r="659" ht="15.75" customHeight="1">
      <c r="C659" s="45"/>
      <c r="D659" s="45"/>
      <c r="E659" s="45"/>
    </row>
    <row r="660" ht="15.75" customHeight="1">
      <c r="C660" s="45"/>
      <c r="D660" s="45"/>
      <c r="E660" s="45"/>
    </row>
    <row r="661" ht="15.75" customHeight="1">
      <c r="C661" s="45"/>
      <c r="D661" s="45"/>
      <c r="E661" s="45"/>
    </row>
    <row r="662" ht="15.75" customHeight="1">
      <c r="C662" s="45"/>
      <c r="D662" s="45"/>
      <c r="E662" s="45"/>
    </row>
    <row r="663" ht="15.75" customHeight="1">
      <c r="C663" s="45"/>
      <c r="D663" s="45"/>
      <c r="E663" s="45"/>
    </row>
    <row r="664" ht="15.75" customHeight="1">
      <c r="C664" s="45"/>
      <c r="D664" s="45"/>
      <c r="E664" s="45"/>
    </row>
    <row r="665" ht="15.75" customHeight="1">
      <c r="C665" s="45"/>
      <c r="D665" s="45"/>
      <c r="E665" s="45"/>
    </row>
    <row r="666" ht="15.75" customHeight="1">
      <c r="C666" s="45"/>
      <c r="D666" s="45"/>
      <c r="E666" s="45"/>
    </row>
    <row r="667" ht="15.75" customHeight="1">
      <c r="C667" s="45"/>
      <c r="D667" s="45"/>
      <c r="E667" s="45"/>
    </row>
    <row r="668" ht="15.75" customHeight="1">
      <c r="C668" s="45"/>
      <c r="D668" s="45"/>
      <c r="E668" s="45"/>
    </row>
    <row r="669" ht="15.75" customHeight="1">
      <c r="C669" s="45"/>
      <c r="D669" s="45"/>
      <c r="E669" s="45"/>
    </row>
    <row r="670" ht="15.75" customHeight="1">
      <c r="C670" s="45"/>
      <c r="D670" s="45"/>
      <c r="E670" s="45"/>
    </row>
    <row r="671" ht="15.75" customHeight="1">
      <c r="C671" s="45"/>
      <c r="D671" s="45"/>
      <c r="E671" s="45"/>
    </row>
    <row r="672" ht="15.75" customHeight="1">
      <c r="C672" s="45"/>
      <c r="D672" s="45"/>
      <c r="E672" s="45"/>
    </row>
    <row r="673" ht="15.75" customHeight="1">
      <c r="C673" s="45"/>
      <c r="D673" s="45"/>
      <c r="E673" s="45"/>
    </row>
    <row r="674" ht="15.75" customHeight="1">
      <c r="C674" s="45"/>
      <c r="D674" s="45"/>
      <c r="E674" s="45"/>
    </row>
    <row r="675" ht="15.75" customHeight="1">
      <c r="C675" s="45"/>
      <c r="D675" s="45"/>
      <c r="E675" s="45"/>
    </row>
    <row r="676" ht="15.75" customHeight="1">
      <c r="C676" s="45"/>
      <c r="D676" s="45"/>
      <c r="E676" s="45"/>
    </row>
    <row r="677" ht="15.75" customHeight="1">
      <c r="C677" s="45"/>
      <c r="D677" s="45"/>
      <c r="E677" s="45"/>
    </row>
    <row r="678" ht="15.75" customHeight="1">
      <c r="C678" s="45"/>
      <c r="D678" s="45"/>
      <c r="E678" s="45"/>
    </row>
    <row r="679" ht="15.75" customHeight="1">
      <c r="C679" s="45"/>
      <c r="D679" s="45"/>
      <c r="E679" s="45"/>
    </row>
    <row r="680" ht="15.75" customHeight="1">
      <c r="C680" s="45"/>
      <c r="D680" s="45"/>
      <c r="E680" s="45"/>
    </row>
    <row r="681" ht="15.75" customHeight="1">
      <c r="C681" s="45"/>
      <c r="D681" s="45"/>
      <c r="E681" s="45"/>
    </row>
    <row r="682" ht="15.75" customHeight="1">
      <c r="C682" s="45"/>
      <c r="D682" s="45"/>
      <c r="E682" s="45"/>
    </row>
    <row r="683" ht="15.75" customHeight="1">
      <c r="C683" s="45"/>
      <c r="D683" s="45"/>
      <c r="E683" s="45"/>
    </row>
    <row r="684" ht="15.75" customHeight="1">
      <c r="C684" s="45"/>
      <c r="D684" s="45"/>
      <c r="E684" s="45"/>
    </row>
    <row r="685" ht="15.75" customHeight="1">
      <c r="C685" s="45"/>
      <c r="D685" s="45"/>
      <c r="E685" s="45"/>
    </row>
    <row r="686" ht="15.75" customHeight="1">
      <c r="C686" s="45"/>
      <c r="D686" s="45"/>
      <c r="E686" s="45"/>
    </row>
    <row r="687" ht="15.75" customHeight="1">
      <c r="C687" s="45"/>
      <c r="D687" s="45"/>
      <c r="E687" s="45"/>
    </row>
    <row r="688" ht="15.75" customHeight="1">
      <c r="C688" s="45"/>
      <c r="D688" s="45"/>
      <c r="E688" s="45"/>
    </row>
    <row r="689" ht="15.75" customHeight="1">
      <c r="C689" s="45"/>
      <c r="D689" s="45"/>
      <c r="E689" s="45"/>
    </row>
    <row r="690" ht="15.75" customHeight="1">
      <c r="C690" s="45"/>
      <c r="D690" s="45"/>
      <c r="E690" s="45"/>
    </row>
    <row r="691" ht="15.75" customHeight="1">
      <c r="C691" s="45"/>
      <c r="D691" s="45"/>
      <c r="E691" s="45"/>
    </row>
    <row r="692" ht="15.75" customHeight="1">
      <c r="C692" s="45"/>
      <c r="D692" s="45"/>
      <c r="E692" s="45"/>
    </row>
    <row r="693" ht="15.75" customHeight="1">
      <c r="C693" s="45"/>
      <c r="D693" s="45"/>
      <c r="E693" s="45"/>
    </row>
    <row r="694" ht="15.75" customHeight="1">
      <c r="C694" s="45"/>
      <c r="D694" s="45"/>
      <c r="E694" s="45"/>
    </row>
    <row r="695" ht="15.75" customHeight="1">
      <c r="C695" s="45"/>
      <c r="D695" s="45"/>
      <c r="E695" s="45"/>
    </row>
    <row r="696" ht="15.75" customHeight="1">
      <c r="C696" s="45"/>
      <c r="D696" s="45"/>
      <c r="E696" s="45"/>
    </row>
    <row r="697" ht="15.75" customHeight="1">
      <c r="C697" s="45"/>
      <c r="D697" s="45"/>
      <c r="E697" s="45"/>
    </row>
    <row r="698" ht="15.75" customHeight="1">
      <c r="C698" s="45"/>
      <c r="D698" s="45"/>
      <c r="E698" s="45"/>
    </row>
    <row r="699" ht="15.75" customHeight="1">
      <c r="C699" s="45"/>
      <c r="D699" s="45"/>
      <c r="E699" s="45"/>
    </row>
    <row r="700" ht="15.75" customHeight="1">
      <c r="C700" s="45"/>
      <c r="D700" s="45"/>
      <c r="E700" s="45"/>
    </row>
    <row r="701" ht="15.75" customHeight="1">
      <c r="C701" s="45"/>
      <c r="D701" s="45"/>
      <c r="E701" s="45"/>
    </row>
    <row r="702" ht="15.75" customHeight="1">
      <c r="C702" s="45"/>
      <c r="D702" s="45"/>
      <c r="E702" s="45"/>
    </row>
    <row r="703" ht="15.75" customHeight="1">
      <c r="C703" s="45"/>
      <c r="D703" s="45"/>
      <c r="E703" s="45"/>
    </row>
    <row r="704" ht="15.75" customHeight="1">
      <c r="C704" s="45"/>
      <c r="D704" s="45"/>
      <c r="E704" s="45"/>
    </row>
    <row r="705" ht="15.75" customHeight="1">
      <c r="C705" s="45"/>
      <c r="D705" s="45"/>
      <c r="E705" s="45"/>
    </row>
    <row r="706" ht="15.75" customHeight="1">
      <c r="C706" s="45"/>
      <c r="D706" s="45"/>
      <c r="E706" s="45"/>
    </row>
    <row r="707" ht="15.75" customHeight="1">
      <c r="C707" s="45"/>
      <c r="D707" s="45"/>
      <c r="E707" s="45"/>
    </row>
    <row r="708" ht="15.75" customHeight="1">
      <c r="C708" s="45"/>
      <c r="D708" s="45"/>
      <c r="E708" s="45"/>
    </row>
    <row r="709" ht="15.75" customHeight="1">
      <c r="C709" s="45"/>
      <c r="D709" s="45"/>
      <c r="E709" s="45"/>
    </row>
    <row r="710" ht="15.75" customHeight="1">
      <c r="C710" s="45"/>
      <c r="D710" s="45"/>
      <c r="E710" s="45"/>
    </row>
    <row r="711" ht="15.75" customHeight="1">
      <c r="C711" s="45"/>
      <c r="D711" s="45"/>
      <c r="E711" s="45"/>
    </row>
    <row r="712" ht="15.75" customHeight="1">
      <c r="C712" s="45"/>
      <c r="D712" s="45"/>
      <c r="E712" s="45"/>
    </row>
    <row r="713" ht="15.75" customHeight="1">
      <c r="C713" s="45"/>
      <c r="D713" s="45"/>
      <c r="E713" s="45"/>
    </row>
    <row r="714" ht="15.75" customHeight="1">
      <c r="C714" s="45"/>
      <c r="D714" s="45"/>
      <c r="E714" s="45"/>
    </row>
    <row r="715" ht="15.75" customHeight="1">
      <c r="C715" s="45"/>
      <c r="D715" s="45"/>
      <c r="E715" s="45"/>
    </row>
    <row r="716" ht="15.75" customHeight="1">
      <c r="C716" s="45"/>
      <c r="D716" s="45"/>
      <c r="E716" s="45"/>
    </row>
    <row r="717" ht="15.75" customHeight="1">
      <c r="C717" s="45"/>
      <c r="D717" s="45"/>
      <c r="E717" s="45"/>
    </row>
    <row r="718" ht="15.75" customHeight="1">
      <c r="C718" s="45"/>
      <c r="D718" s="45"/>
      <c r="E718" s="45"/>
    </row>
    <row r="719" ht="15.75" customHeight="1">
      <c r="C719" s="45"/>
      <c r="D719" s="45"/>
      <c r="E719" s="45"/>
    </row>
    <row r="720" ht="15.75" customHeight="1">
      <c r="C720" s="45"/>
      <c r="D720" s="45"/>
      <c r="E720" s="45"/>
    </row>
    <row r="721" ht="15.75" customHeight="1">
      <c r="C721" s="45"/>
      <c r="D721" s="45"/>
      <c r="E721" s="45"/>
    </row>
    <row r="722" ht="15.75" customHeight="1">
      <c r="C722" s="45"/>
      <c r="D722" s="45"/>
      <c r="E722" s="45"/>
    </row>
    <row r="723" ht="15.75" customHeight="1">
      <c r="C723" s="45"/>
      <c r="D723" s="45"/>
      <c r="E723" s="45"/>
    </row>
    <row r="724" ht="15.75" customHeight="1">
      <c r="C724" s="45"/>
      <c r="D724" s="45"/>
      <c r="E724" s="45"/>
    </row>
    <row r="725" ht="15.75" customHeight="1">
      <c r="C725" s="45"/>
      <c r="D725" s="45"/>
      <c r="E725" s="45"/>
    </row>
    <row r="726" ht="15.75" customHeight="1">
      <c r="C726" s="45"/>
      <c r="D726" s="45"/>
      <c r="E726" s="45"/>
    </row>
    <row r="727" ht="15.75" customHeight="1">
      <c r="C727" s="45"/>
      <c r="D727" s="45"/>
      <c r="E727" s="45"/>
    </row>
    <row r="728" ht="15.75" customHeight="1">
      <c r="C728" s="45"/>
      <c r="D728" s="45"/>
      <c r="E728" s="45"/>
    </row>
    <row r="729" ht="15.75" customHeight="1">
      <c r="C729" s="45"/>
      <c r="D729" s="45"/>
      <c r="E729" s="45"/>
    </row>
    <row r="730" ht="15.75" customHeight="1">
      <c r="C730" s="45"/>
      <c r="D730" s="45"/>
      <c r="E730" s="45"/>
    </row>
    <row r="731" ht="15.75" customHeight="1">
      <c r="C731" s="45"/>
      <c r="D731" s="45"/>
      <c r="E731" s="45"/>
    </row>
    <row r="732" ht="15.75" customHeight="1">
      <c r="C732" s="45"/>
      <c r="D732" s="45"/>
      <c r="E732" s="45"/>
    </row>
    <row r="733" ht="15.75" customHeight="1">
      <c r="C733" s="45"/>
      <c r="D733" s="45"/>
      <c r="E733" s="45"/>
    </row>
    <row r="734" ht="15.75" customHeight="1">
      <c r="C734" s="45"/>
      <c r="D734" s="45"/>
      <c r="E734" s="45"/>
    </row>
    <row r="735" ht="15.75" customHeight="1">
      <c r="C735" s="45"/>
      <c r="D735" s="45"/>
      <c r="E735" s="45"/>
    </row>
    <row r="736" ht="15.75" customHeight="1">
      <c r="C736" s="45"/>
      <c r="D736" s="45"/>
      <c r="E736" s="45"/>
    </row>
    <row r="737" ht="15.75" customHeight="1">
      <c r="C737" s="45"/>
      <c r="D737" s="45"/>
      <c r="E737" s="45"/>
    </row>
    <row r="738" ht="15.75" customHeight="1">
      <c r="C738" s="45"/>
      <c r="D738" s="45"/>
      <c r="E738" s="45"/>
    </row>
    <row r="739" ht="15.75" customHeight="1">
      <c r="C739" s="45"/>
      <c r="D739" s="45"/>
      <c r="E739" s="45"/>
    </row>
    <row r="740" ht="15.75" customHeight="1">
      <c r="C740" s="45"/>
      <c r="D740" s="45"/>
      <c r="E740" s="45"/>
    </row>
    <row r="741" ht="15.75" customHeight="1">
      <c r="C741" s="45"/>
      <c r="D741" s="45"/>
      <c r="E741" s="45"/>
    </row>
    <row r="742" ht="15.75" customHeight="1">
      <c r="C742" s="45"/>
      <c r="D742" s="45"/>
      <c r="E742" s="45"/>
    </row>
    <row r="743" ht="15.75" customHeight="1">
      <c r="C743" s="45"/>
      <c r="D743" s="45"/>
      <c r="E743" s="45"/>
    </row>
    <row r="744" ht="15.75" customHeight="1">
      <c r="C744" s="45"/>
      <c r="D744" s="45"/>
      <c r="E744" s="45"/>
    </row>
    <row r="745" ht="15.75" customHeight="1">
      <c r="C745" s="45"/>
      <c r="D745" s="45"/>
      <c r="E745" s="45"/>
    </row>
    <row r="746" ht="15.75" customHeight="1">
      <c r="C746" s="45"/>
      <c r="D746" s="45"/>
      <c r="E746" s="45"/>
    </row>
    <row r="747" ht="15.75" customHeight="1">
      <c r="C747" s="45"/>
      <c r="D747" s="45"/>
      <c r="E747" s="45"/>
    </row>
    <row r="748" ht="15.75" customHeight="1">
      <c r="C748" s="45"/>
      <c r="D748" s="45"/>
      <c r="E748" s="45"/>
    </row>
    <row r="749" ht="15.75" customHeight="1">
      <c r="C749" s="45"/>
      <c r="D749" s="45"/>
      <c r="E749" s="45"/>
    </row>
    <row r="750" ht="15.75" customHeight="1">
      <c r="C750" s="45"/>
      <c r="D750" s="45"/>
      <c r="E750" s="45"/>
    </row>
    <row r="751" ht="15.75" customHeight="1">
      <c r="C751" s="45"/>
      <c r="D751" s="45"/>
      <c r="E751" s="45"/>
    </row>
    <row r="752" ht="15.75" customHeight="1">
      <c r="C752" s="45"/>
      <c r="D752" s="45"/>
      <c r="E752" s="45"/>
    </row>
    <row r="753" ht="15.75" customHeight="1">
      <c r="C753" s="45"/>
      <c r="D753" s="45"/>
      <c r="E753" s="45"/>
    </row>
    <row r="754" ht="15.75" customHeight="1">
      <c r="C754" s="45"/>
      <c r="D754" s="45"/>
      <c r="E754" s="45"/>
    </row>
    <row r="755" ht="15.75" customHeight="1">
      <c r="C755" s="45"/>
      <c r="D755" s="45"/>
      <c r="E755" s="45"/>
    </row>
    <row r="756" ht="15.75" customHeight="1">
      <c r="C756" s="45"/>
      <c r="D756" s="45"/>
      <c r="E756" s="45"/>
    </row>
    <row r="757" ht="15.75" customHeight="1">
      <c r="C757" s="45"/>
      <c r="D757" s="45"/>
      <c r="E757" s="45"/>
    </row>
    <row r="758" ht="15.75" customHeight="1">
      <c r="C758" s="45"/>
      <c r="D758" s="45"/>
      <c r="E758" s="45"/>
    </row>
    <row r="759" ht="15.75" customHeight="1">
      <c r="C759" s="45"/>
      <c r="D759" s="45"/>
      <c r="E759" s="45"/>
    </row>
    <row r="760" ht="15.75" customHeight="1">
      <c r="C760" s="45"/>
      <c r="D760" s="45"/>
      <c r="E760" s="45"/>
    </row>
    <row r="761" ht="15.75" customHeight="1">
      <c r="C761" s="45"/>
      <c r="D761" s="45"/>
      <c r="E761" s="45"/>
    </row>
    <row r="762" ht="15.75" customHeight="1">
      <c r="C762" s="45"/>
      <c r="D762" s="45"/>
      <c r="E762" s="45"/>
    </row>
    <row r="763" ht="15.75" customHeight="1">
      <c r="C763" s="45"/>
      <c r="D763" s="45"/>
      <c r="E763" s="45"/>
    </row>
    <row r="764" ht="15.75" customHeight="1">
      <c r="C764" s="45"/>
      <c r="D764" s="45"/>
      <c r="E764" s="45"/>
    </row>
    <row r="765" ht="15.75" customHeight="1">
      <c r="C765" s="45"/>
      <c r="D765" s="45"/>
      <c r="E765" s="45"/>
    </row>
    <row r="766" ht="15.75" customHeight="1">
      <c r="C766" s="45"/>
      <c r="D766" s="45"/>
      <c r="E766" s="45"/>
    </row>
    <row r="767" ht="15.75" customHeight="1">
      <c r="C767" s="45"/>
      <c r="D767" s="45"/>
      <c r="E767" s="45"/>
    </row>
    <row r="768" ht="15.75" customHeight="1">
      <c r="C768" s="45"/>
      <c r="D768" s="45"/>
      <c r="E768" s="45"/>
    </row>
    <row r="769" ht="15.75" customHeight="1">
      <c r="C769" s="45"/>
      <c r="D769" s="45"/>
      <c r="E769" s="45"/>
    </row>
    <row r="770" ht="15.75" customHeight="1">
      <c r="C770" s="45"/>
      <c r="D770" s="45"/>
      <c r="E770" s="45"/>
    </row>
    <row r="771" ht="15.75" customHeight="1">
      <c r="C771" s="45"/>
      <c r="D771" s="45"/>
      <c r="E771" s="45"/>
    </row>
    <row r="772" ht="15.75" customHeight="1">
      <c r="C772" s="45"/>
      <c r="D772" s="45"/>
      <c r="E772" s="45"/>
    </row>
    <row r="773" ht="15.75" customHeight="1">
      <c r="C773" s="45"/>
      <c r="D773" s="45"/>
      <c r="E773" s="45"/>
    </row>
    <row r="774" ht="15.75" customHeight="1">
      <c r="C774" s="45"/>
      <c r="D774" s="45"/>
      <c r="E774" s="45"/>
    </row>
    <row r="775" ht="15.75" customHeight="1">
      <c r="C775" s="45"/>
      <c r="D775" s="45"/>
      <c r="E775" s="45"/>
    </row>
    <row r="776" ht="15.75" customHeight="1">
      <c r="C776" s="45"/>
      <c r="D776" s="45"/>
      <c r="E776" s="45"/>
    </row>
    <row r="777" ht="15.75" customHeight="1">
      <c r="C777" s="45"/>
      <c r="D777" s="45"/>
      <c r="E777" s="45"/>
    </row>
    <row r="778" ht="15.75" customHeight="1">
      <c r="C778" s="45"/>
      <c r="D778" s="45"/>
      <c r="E778" s="45"/>
    </row>
    <row r="779" ht="15.75" customHeight="1">
      <c r="C779" s="45"/>
      <c r="D779" s="45"/>
      <c r="E779" s="45"/>
    </row>
    <row r="780" ht="15.75" customHeight="1">
      <c r="C780" s="45"/>
      <c r="D780" s="45"/>
      <c r="E780" s="45"/>
    </row>
    <row r="781" ht="15.75" customHeight="1">
      <c r="C781" s="45"/>
      <c r="D781" s="45"/>
      <c r="E781" s="45"/>
    </row>
    <row r="782" ht="15.75" customHeight="1">
      <c r="C782" s="45"/>
      <c r="D782" s="45"/>
      <c r="E782" s="45"/>
    </row>
    <row r="783" ht="15.75" customHeight="1">
      <c r="C783" s="45"/>
      <c r="D783" s="45"/>
      <c r="E783" s="45"/>
    </row>
    <row r="784" ht="15.75" customHeight="1">
      <c r="C784" s="45"/>
      <c r="D784" s="45"/>
      <c r="E784" s="45"/>
    </row>
    <row r="785" ht="15.75" customHeight="1">
      <c r="C785" s="45"/>
      <c r="D785" s="45"/>
      <c r="E785" s="45"/>
    </row>
    <row r="786" ht="15.75" customHeight="1">
      <c r="C786" s="45"/>
      <c r="D786" s="45"/>
      <c r="E786" s="45"/>
    </row>
    <row r="787" ht="15.75" customHeight="1">
      <c r="C787" s="45"/>
      <c r="D787" s="45"/>
      <c r="E787" s="45"/>
    </row>
    <row r="788" ht="15.75" customHeight="1">
      <c r="C788" s="45"/>
      <c r="D788" s="45"/>
      <c r="E788" s="45"/>
    </row>
    <row r="789" ht="15.75" customHeight="1">
      <c r="C789" s="45"/>
      <c r="D789" s="45"/>
      <c r="E789" s="45"/>
    </row>
    <row r="790" ht="15.75" customHeight="1">
      <c r="C790" s="45"/>
      <c r="D790" s="45"/>
      <c r="E790" s="45"/>
    </row>
    <row r="791" ht="15.75" customHeight="1">
      <c r="C791" s="45"/>
      <c r="D791" s="45"/>
      <c r="E791" s="45"/>
    </row>
    <row r="792" ht="15.75" customHeight="1">
      <c r="C792" s="45"/>
      <c r="D792" s="45"/>
      <c r="E792" s="45"/>
    </row>
    <row r="793" ht="15.75" customHeight="1">
      <c r="C793" s="45"/>
      <c r="D793" s="45"/>
      <c r="E793" s="45"/>
    </row>
    <row r="794" ht="15.75" customHeight="1">
      <c r="C794" s="45"/>
      <c r="D794" s="45"/>
      <c r="E794" s="45"/>
    </row>
    <row r="795" ht="15.75" customHeight="1">
      <c r="C795" s="45"/>
      <c r="D795" s="45"/>
      <c r="E795" s="45"/>
    </row>
    <row r="796" ht="15.75" customHeight="1">
      <c r="C796" s="45"/>
      <c r="D796" s="45"/>
      <c r="E796" s="45"/>
    </row>
    <row r="797" ht="15.75" customHeight="1">
      <c r="C797" s="45"/>
      <c r="D797" s="45"/>
      <c r="E797" s="45"/>
    </row>
    <row r="798" ht="15.75" customHeight="1">
      <c r="C798" s="45"/>
      <c r="D798" s="45"/>
      <c r="E798" s="45"/>
    </row>
    <row r="799" ht="15.75" customHeight="1">
      <c r="C799" s="45"/>
      <c r="D799" s="45"/>
      <c r="E799" s="45"/>
    </row>
    <row r="800" ht="15.75" customHeight="1">
      <c r="C800" s="45"/>
      <c r="D800" s="45"/>
      <c r="E800" s="45"/>
    </row>
    <row r="801" ht="15.75" customHeight="1">
      <c r="C801" s="45"/>
      <c r="D801" s="45"/>
      <c r="E801" s="45"/>
    </row>
    <row r="802" ht="15.75" customHeight="1">
      <c r="C802" s="45"/>
      <c r="D802" s="45"/>
      <c r="E802" s="45"/>
    </row>
    <row r="803" ht="15.75" customHeight="1">
      <c r="C803" s="45"/>
      <c r="D803" s="45"/>
      <c r="E803" s="45"/>
    </row>
    <row r="804" ht="15.75" customHeight="1">
      <c r="C804" s="45"/>
      <c r="D804" s="45"/>
      <c r="E804" s="45"/>
    </row>
    <row r="805" ht="15.75" customHeight="1">
      <c r="C805" s="45"/>
      <c r="D805" s="45"/>
      <c r="E805" s="45"/>
    </row>
    <row r="806" ht="15.75" customHeight="1">
      <c r="C806" s="45"/>
      <c r="D806" s="45"/>
      <c r="E806" s="45"/>
    </row>
    <row r="807" ht="15.75" customHeight="1">
      <c r="C807" s="45"/>
      <c r="D807" s="45"/>
      <c r="E807" s="45"/>
    </row>
    <row r="808" ht="15.75" customHeight="1">
      <c r="C808" s="45"/>
      <c r="D808" s="45"/>
      <c r="E808" s="45"/>
    </row>
    <row r="809" ht="15.75" customHeight="1">
      <c r="C809" s="45"/>
      <c r="D809" s="45"/>
      <c r="E809" s="45"/>
    </row>
    <row r="810" ht="15.75" customHeight="1">
      <c r="C810" s="45"/>
      <c r="D810" s="45"/>
      <c r="E810" s="45"/>
    </row>
    <row r="811" ht="15.75" customHeight="1">
      <c r="C811" s="45"/>
      <c r="D811" s="45"/>
      <c r="E811" s="45"/>
    </row>
    <row r="812" ht="15.75" customHeight="1">
      <c r="C812" s="45"/>
      <c r="D812" s="45"/>
      <c r="E812" s="45"/>
    </row>
    <row r="813" ht="15.75" customHeight="1">
      <c r="C813" s="45"/>
      <c r="D813" s="45"/>
      <c r="E813" s="45"/>
    </row>
    <row r="814" ht="15.75" customHeight="1">
      <c r="C814" s="45"/>
      <c r="D814" s="45"/>
      <c r="E814" s="45"/>
    </row>
    <row r="815" ht="15.75" customHeight="1">
      <c r="C815" s="45"/>
      <c r="D815" s="45"/>
      <c r="E815" s="45"/>
    </row>
    <row r="816" ht="15.75" customHeight="1">
      <c r="C816" s="45"/>
      <c r="D816" s="45"/>
      <c r="E816" s="45"/>
    </row>
    <row r="817" ht="15.75" customHeight="1">
      <c r="C817" s="45"/>
      <c r="D817" s="45"/>
      <c r="E817" s="45"/>
    </row>
    <row r="818" ht="15.75" customHeight="1">
      <c r="C818" s="45"/>
      <c r="D818" s="45"/>
      <c r="E818" s="45"/>
    </row>
    <row r="819" ht="15.75" customHeight="1">
      <c r="C819" s="45"/>
      <c r="D819" s="45"/>
      <c r="E819" s="45"/>
    </row>
    <row r="820" ht="15.75" customHeight="1">
      <c r="C820" s="45"/>
      <c r="D820" s="45"/>
      <c r="E820" s="45"/>
    </row>
    <row r="821" ht="15.75" customHeight="1">
      <c r="C821" s="45"/>
      <c r="D821" s="45"/>
      <c r="E821" s="45"/>
    </row>
    <row r="822" ht="15.75" customHeight="1">
      <c r="C822" s="45"/>
      <c r="D822" s="45"/>
      <c r="E822" s="45"/>
    </row>
    <row r="823" ht="15.75" customHeight="1">
      <c r="C823" s="45"/>
      <c r="D823" s="45"/>
      <c r="E823" s="45"/>
    </row>
    <row r="824" ht="15.75" customHeight="1">
      <c r="C824" s="45"/>
      <c r="D824" s="45"/>
      <c r="E824" s="45"/>
    </row>
    <row r="825" ht="15.75" customHeight="1">
      <c r="C825" s="45"/>
      <c r="D825" s="45"/>
      <c r="E825" s="45"/>
    </row>
    <row r="826" ht="15.75" customHeight="1">
      <c r="C826" s="45"/>
      <c r="D826" s="45"/>
      <c r="E826" s="45"/>
    </row>
    <row r="827" ht="15.75" customHeight="1">
      <c r="C827" s="45"/>
      <c r="D827" s="45"/>
      <c r="E827" s="45"/>
    </row>
    <row r="828" ht="15.75" customHeight="1">
      <c r="C828" s="45"/>
      <c r="D828" s="45"/>
      <c r="E828" s="45"/>
    </row>
    <row r="829" ht="15.75" customHeight="1">
      <c r="C829" s="45"/>
      <c r="D829" s="45"/>
      <c r="E829" s="45"/>
    </row>
    <row r="830" ht="15.75" customHeight="1">
      <c r="C830" s="45"/>
      <c r="D830" s="45"/>
      <c r="E830" s="45"/>
    </row>
    <row r="831" ht="15.75" customHeight="1">
      <c r="C831" s="45"/>
      <c r="D831" s="45"/>
      <c r="E831" s="45"/>
    </row>
    <row r="832" ht="15.75" customHeight="1">
      <c r="C832" s="45"/>
      <c r="D832" s="45"/>
      <c r="E832" s="45"/>
    </row>
    <row r="833" ht="15.75" customHeight="1">
      <c r="C833" s="45"/>
      <c r="D833" s="45"/>
      <c r="E833" s="45"/>
    </row>
    <row r="834" ht="15.75" customHeight="1">
      <c r="C834" s="45"/>
      <c r="D834" s="45"/>
      <c r="E834" s="45"/>
    </row>
    <row r="835" ht="15.75" customHeight="1">
      <c r="C835" s="45"/>
      <c r="D835" s="45"/>
      <c r="E835" s="45"/>
    </row>
    <row r="836" ht="15.75" customHeight="1">
      <c r="C836" s="45"/>
      <c r="D836" s="45"/>
      <c r="E836" s="45"/>
    </row>
    <row r="837" ht="15.75" customHeight="1">
      <c r="C837" s="45"/>
      <c r="D837" s="45"/>
      <c r="E837" s="45"/>
    </row>
    <row r="838" ht="15.75" customHeight="1">
      <c r="C838" s="45"/>
      <c r="D838" s="45"/>
      <c r="E838" s="45"/>
    </row>
    <row r="839" ht="15.75" customHeight="1">
      <c r="C839" s="45"/>
      <c r="D839" s="45"/>
      <c r="E839" s="45"/>
    </row>
    <row r="840" ht="15.75" customHeight="1">
      <c r="C840" s="45"/>
      <c r="D840" s="45"/>
      <c r="E840" s="45"/>
    </row>
    <row r="841" ht="15.75" customHeight="1">
      <c r="C841" s="45"/>
      <c r="D841" s="45"/>
      <c r="E841" s="45"/>
    </row>
    <row r="842" ht="15.75" customHeight="1">
      <c r="C842" s="45"/>
      <c r="D842" s="45"/>
      <c r="E842" s="45"/>
    </row>
    <row r="843" ht="15.75" customHeight="1">
      <c r="C843" s="45"/>
      <c r="D843" s="45"/>
      <c r="E843" s="45"/>
    </row>
    <row r="844" ht="15.75" customHeight="1">
      <c r="C844" s="45"/>
      <c r="D844" s="45"/>
      <c r="E844" s="45"/>
    </row>
    <row r="845" ht="15.75" customHeight="1">
      <c r="C845" s="45"/>
      <c r="D845" s="45"/>
      <c r="E845" s="45"/>
    </row>
    <row r="846" ht="15.75" customHeight="1">
      <c r="C846" s="45"/>
      <c r="D846" s="45"/>
      <c r="E846" s="45"/>
    </row>
    <row r="847" ht="15.75" customHeight="1">
      <c r="C847" s="45"/>
      <c r="D847" s="45"/>
      <c r="E847" s="45"/>
    </row>
    <row r="848" ht="15.75" customHeight="1">
      <c r="C848" s="45"/>
      <c r="D848" s="45"/>
      <c r="E848" s="45"/>
    </row>
    <row r="849" ht="15.75" customHeight="1">
      <c r="C849" s="45"/>
      <c r="D849" s="45"/>
      <c r="E849" s="45"/>
    </row>
    <row r="850" ht="15.75" customHeight="1">
      <c r="C850" s="45"/>
      <c r="D850" s="45"/>
      <c r="E850" s="45"/>
    </row>
    <row r="851" ht="15.75" customHeight="1">
      <c r="C851" s="45"/>
      <c r="D851" s="45"/>
      <c r="E851" s="45"/>
    </row>
    <row r="852" ht="15.75" customHeight="1">
      <c r="C852" s="45"/>
      <c r="D852" s="45"/>
      <c r="E852" s="45"/>
    </row>
    <row r="853" ht="15.75" customHeight="1">
      <c r="C853" s="45"/>
      <c r="D853" s="45"/>
      <c r="E853" s="45"/>
    </row>
    <row r="854" ht="15.75" customHeight="1">
      <c r="C854" s="45"/>
      <c r="D854" s="45"/>
      <c r="E854" s="45"/>
    </row>
    <row r="855" ht="15.75" customHeight="1">
      <c r="C855" s="45"/>
      <c r="D855" s="45"/>
      <c r="E855" s="45"/>
    </row>
    <row r="856" ht="15.75" customHeight="1">
      <c r="C856" s="45"/>
      <c r="D856" s="45"/>
      <c r="E856" s="45"/>
    </row>
    <row r="857" ht="15.75" customHeight="1">
      <c r="C857" s="45"/>
      <c r="D857" s="45"/>
      <c r="E857" s="45"/>
    </row>
    <row r="858" ht="15.75" customHeight="1">
      <c r="C858" s="45"/>
      <c r="D858" s="45"/>
      <c r="E858" s="45"/>
    </row>
    <row r="859" ht="15.75" customHeight="1">
      <c r="C859" s="45"/>
      <c r="D859" s="45"/>
      <c r="E859" s="45"/>
    </row>
    <row r="860" ht="15.75" customHeight="1">
      <c r="C860" s="45"/>
      <c r="D860" s="45"/>
      <c r="E860" s="45"/>
    </row>
    <row r="861" ht="15.75" customHeight="1">
      <c r="C861" s="45"/>
      <c r="D861" s="45"/>
      <c r="E861" s="45"/>
    </row>
    <row r="862" ht="15.75" customHeight="1">
      <c r="C862" s="45"/>
      <c r="D862" s="45"/>
      <c r="E862" s="45"/>
    </row>
    <row r="863" ht="15.75" customHeight="1">
      <c r="C863" s="45"/>
      <c r="D863" s="45"/>
      <c r="E863" s="45"/>
    </row>
    <row r="864" ht="15.75" customHeight="1">
      <c r="C864" s="45"/>
      <c r="D864" s="45"/>
      <c r="E864" s="45"/>
    </row>
    <row r="865" ht="15.75" customHeight="1">
      <c r="C865" s="45"/>
      <c r="D865" s="45"/>
      <c r="E865" s="45"/>
    </row>
    <row r="866" ht="15.75" customHeight="1">
      <c r="C866" s="45"/>
      <c r="D866" s="45"/>
      <c r="E866" s="45"/>
    </row>
    <row r="867" ht="15.75" customHeight="1">
      <c r="C867" s="45"/>
      <c r="D867" s="45"/>
      <c r="E867" s="45"/>
    </row>
    <row r="868" ht="15.75" customHeight="1">
      <c r="C868" s="45"/>
      <c r="D868" s="45"/>
      <c r="E868" s="45"/>
    </row>
    <row r="869" ht="15.75" customHeight="1">
      <c r="C869" s="45"/>
      <c r="D869" s="45"/>
      <c r="E869" s="45"/>
    </row>
    <row r="870" ht="15.75" customHeight="1">
      <c r="C870" s="45"/>
      <c r="D870" s="45"/>
      <c r="E870" s="45"/>
    </row>
    <row r="871" ht="15.75" customHeight="1">
      <c r="C871" s="45"/>
      <c r="D871" s="45"/>
      <c r="E871" s="45"/>
    </row>
    <row r="872" ht="15.75" customHeight="1">
      <c r="C872" s="45"/>
      <c r="D872" s="45"/>
      <c r="E872" s="45"/>
    </row>
    <row r="873" ht="15.75" customHeight="1">
      <c r="C873" s="45"/>
      <c r="D873" s="45"/>
      <c r="E873" s="45"/>
    </row>
    <row r="874" ht="15.75" customHeight="1">
      <c r="C874" s="45"/>
      <c r="D874" s="45"/>
      <c r="E874" s="45"/>
    </row>
    <row r="875" ht="15.75" customHeight="1">
      <c r="C875" s="45"/>
      <c r="D875" s="45"/>
      <c r="E875" s="45"/>
    </row>
    <row r="876" ht="15.75" customHeight="1">
      <c r="C876" s="45"/>
      <c r="D876" s="45"/>
      <c r="E876" s="45"/>
    </row>
    <row r="877" ht="15.75" customHeight="1">
      <c r="C877" s="45"/>
      <c r="D877" s="45"/>
      <c r="E877" s="45"/>
    </row>
    <row r="878" ht="15.75" customHeight="1">
      <c r="C878" s="45"/>
      <c r="D878" s="45"/>
      <c r="E878" s="45"/>
    </row>
    <row r="879" ht="15.75" customHeight="1">
      <c r="C879" s="45"/>
      <c r="D879" s="45"/>
      <c r="E879" s="45"/>
    </row>
    <row r="880" ht="15.75" customHeight="1">
      <c r="C880" s="45"/>
      <c r="D880" s="45"/>
      <c r="E880" s="45"/>
    </row>
    <row r="881" ht="15.75" customHeight="1">
      <c r="C881" s="45"/>
      <c r="D881" s="45"/>
      <c r="E881" s="45"/>
    </row>
    <row r="882" ht="15.75" customHeight="1">
      <c r="C882" s="45"/>
      <c r="D882" s="45"/>
      <c r="E882" s="45"/>
    </row>
    <row r="883" ht="15.75" customHeight="1">
      <c r="C883" s="45"/>
      <c r="D883" s="45"/>
      <c r="E883" s="45"/>
    </row>
    <row r="884" ht="15.75" customHeight="1">
      <c r="C884" s="45"/>
      <c r="D884" s="45"/>
      <c r="E884" s="45"/>
    </row>
    <row r="885" ht="15.75" customHeight="1">
      <c r="C885" s="45"/>
      <c r="D885" s="45"/>
      <c r="E885" s="45"/>
    </row>
    <row r="886" ht="15.75" customHeight="1">
      <c r="C886" s="45"/>
      <c r="D886" s="45"/>
      <c r="E886" s="45"/>
    </row>
    <row r="887" ht="15.75" customHeight="1">
      <c r="C887" s="45"/>
      <c r="D887" s="45"/>
      <c r="E887" s="45"/>
    </row>
    <row r="888" ht="15.75" customHeight="1">
      <c r="C888" s="45"/>
      <c r="D888" s="45"/>
      <c r="E888" s="45"/>
    </row>
    <row r="889" ht="15.75" customHeight="1">
      <c r="C889" s="45"/>
      <c r="D889" s="45"/>
      <c r="E889" s="45"/>
    </row>
    <row r="890" ht="15.75" customHeight="1">
      <c r="C890" s="45"/>
      <c r="D890" s="45"/>
      <c r="E890" s="45"/>
    </row>
    <row r="891" ht="15.75" customHeight="1">
      <c r="C891" s="45"/>
      <c r="D891" s="45"/>
      <c r="E891" s="45"/>
    </row>
    <row r="892" ht="15.75" customHeight="1">
      <c r="C892" s="45"/>
      <c r="D892" s="45"/>
      <c r="E892" s="45"/>
    </row>
    <row r="893" ht="15.75" customHeight="1">
      <c r="C893" s="45"/>
      <c r="D893" s="45"/>
      <c r="E893" s="45"/>
    </row>
    <row r="894" ht="15.75" customHeight="1">
      <c r="C894" s="45"/>
      <c r="D894" s="45"/>
      <c r="E894" s="45"/>
    </row>
    <row r="895" ht="15.75" customHeight="1">
      <c r="C895" s="45"/>
      <c r="D895" s="45"/>
      <c r="E895" s="45"/>
    </row>
    <row r="896" ht="15.75" customHeight="1">
      <c r="C896" s="45"/>
      <c r="D896" s="45"/>
      <c r="E896" s="45"/>
    </row>
    <row r="897" ht="15.75" customHeight="1">
      <c r="C897" s="45"/>
      <c r="D897" s="45"/>
      <c r="E897" s="45"/>
    </row>
    <row r="898" ht="15.75" customHeight="1">
      <c r="C898" s="45"/>
      <c r="D898" s="45"/>
      <c r="E898" s="45"/>
    </row>
    <row r="899" ht="15.75" customHeight="1">
      <c r="C899" s="45"/>
      <c r="D899" s="45"/>
      <c r="E899" s="45"/>
    </row>
    <row r="900" ht="15.75" customHeight="1">
      <c r="C900" s="45"/>
      <c r="D900" s="45"/>
      <c r="E900" s="45"/>
    </row>
    <row r="901" ht="15.75" customHeight="1">
      <c r="C901" s="45"/>
      <c r="D901" s="45"/>
      <c r="E901" s="45"/>
    </row>
    <row r="902" ht="15.75" customHeight="1">
      <c r="C902" s="45"/>
      <c r="D902" s="45"/>
      <c r="E902" s="45"/>
    </row>
    <row r="903" ht="15.75" customHeight="1">
      <c r="C903" s="45"/>
      <c r="D903" s="45"/>
      <c r="E903" s="45"/>
    </row>
    <row r="904" ht="15.75" customHeight="1">
      <c r="C904" s="45"/>
      <c r="D904" s="45"/>
      <c r="E904" s="45"/>
    </row>
    <row r="905" ht="15.75" customHeight="1">
      <c r="C905" s="45"/>
      <c r="D905" s="45"/>
      <c r="E905" s="45"/>
    </row>
    <row r="906" ht="15.75" customHeight="1">
      <c r="C906" s="45"/>
      <c r="D906" s="45"/>
      <c r="E906" s="45"/>
    </row>
    <row r="907" ht="15.75" customHeight="1">
      <c r="C907" s="45"/>
      <c r="D907" s="45"/>
      <c r="E907" s="45"/>
    </row>
    <row r="908" ht="15.75" customHeight="1">
      <c r="C908" s="45"/>
      <c r="D908" s="45"/>
      <c r="E908" s="45"/>
    </row>
    <row r="909" ht="15.75" customHeight="1">
      <c r="C909" s="45"/>
      <c r="D909" s="45"/>
      <c r="E909" s="45"/>
    </row>
    <row r="910" ht="15.75" customHeight="1">
      <c r="C910" s="45"/>
      <c r="D910" s="45"/>
      <c r="E910" s="45"/>
    </row>
    <row r="911" ht="15.75" customHeight="1">
      <c r="C911" s="45"/>
      <c r="D911" s="45"/>
      <c r="E911" s="45"/>
    </row>
    <row r="912" ht="15.75" customHeight="1">
      <c r="C912" s="45"/>
      <c r="D912" s="45"/>
      <c r="E912" s="45"/>
    </row>
    <row r="913" ht="15.75" customHeight="1">
      <c r="C913" s="45"/>
      <c r="D913" s="45"/>
      <c r="E913" s="45"/>
    </row>
    <row r="914" ht="15.75" customHeight="1">
      <c r="C914" s="45"/>
      <c r="D914" s="45"/>
      <c r="E914" s="45"/>
    </row>
    <row r="915" ht="15.75" customHeight="1">
      <c r="C915" s="45"/>
      <c r="D915" s="45"/>
      <c r="E915" s="45"/>
    </row>
    <row r="916" ht="15.75" customHeight="1">
      <c r="C916" s="45"/>
      <c r="D916" s="45"/>
      <c r="E916" s="45"/>
    </row>
    <row r="917" ht="15.75" customHeight="1">
      <c r="C917" s="45"/>
      <c r="D917" s="45"/>
      <c r="E917" s="45"/>
    </row>
    <row r="918" ht="15.75" customHeight="1">
      <c r="C918" s="45"/>
      <c r="D918" s="45"/>
      <c r="E918" s="45"/>
    </row>
    <row r="919" ht="15.75" customHeight="1">
      <c r="C919" s="45"/>
      <c r="D919" s="45"/>
      <c r="E919" s="45"/>
    </row>
    <row r="920" ht="15.75" customHeight="1">
      <c r="C920" s="45"/>
      <c r="D920" s="45"/>
      <c r="E920" s="45"/>
    </row>
    <row r="921" ht="15.75" customHeight="1">
      <c r="C921" s="45"/>
      <c r="D921" s="45"/>
      <c r="E921" s="45"/>
    </row>
    <row r="922" ht="15.75" customHeight="1">
      <c r="C922" s="45"/>
      <c r="D922" s="45"/>
      <c r="E922" s="45"/>
    </row>
    <row r="923" ht="15.75" customHeight="1">
      <c r="C923" s="45"/>
      <c r="D923" s="45"/>
      <c r="E923" s="45"/>
    </row>
    <row r="924" ht="15.75" customHeight="1">
      <c r="C924" s="45"/>
      <c r="D924" s="45"/>
      <c r="E924" s="45"/>
    </row>
    <row r="925" ht="15.75" customHeight="1">
      <c r="C925" s="45"/>
      <c r="D925" s="45"/>
      <c r="E925" s="45"/>
    </row>
    <row r="926" ht="15.75" customHeight="1">
      <c r="C926" s="45"/>
      <c r="D926" s="45"/>
      <c r="E926" s="45"/>
    </row>
    <row r="927" ht="15.75" customHeight="1">
      <c r="C927" s="45"/>
      <c r="D927" s="45"/>
      <c r="E927" s="45"/>
    </row>
    <row r="928" ht="15.75" customHeight="1">
      <c r="C928" s="45"/>
      <c r="D928" s="45"/>
      <c r="E928" s="45"/>
    </row>
    <row r="929" ht="15.75" customHeight="1">
      <c r="C929" s="45"/>
      <c r="D929" s="45"/>
      <c r="E929" s="45"/>
    </row>
    <row r="930" ht="15.75" customHeight="1">
      <c r="C930" s="45"/>
      <c r="D930" s="45"/>
      <c r="E930" s="45"/>
    </row>
    <row r="931" ht="15.75" customHeight="1">
      <c r="C931" s="45"/>
      <c r="D931" s="45"/>
      <c r="E931" s="45"/>
    </row>
    <row r="932" ht="15.75" customHeight="1">
      <c r="C932" s="45"/>
      <c r="D932" s="45"/>
      <c r="E932" s="45"/>
    </row>
    <row r="933" ht="15.75" customHeight="1">
      <c r="C933" s="45"/>
      <c r="D933" s="45"/>
      <c r="E933" s="45"/>
    </row>
    <row r="934" ht="15.75" customHeight="1">
      <c r="C934" s="45"/>
      <c r="D934" s="45"/>
      <c r="E934" s="45"/>
    </row>
    <row r="935" ht="15.75" customHeight="1">
      <c r="C935" s="45"/>
      <c r="D935" s="45"/>
      <c r="E935" s="45"/>
    </row>
    <row r="936" ht="15.75" customHeight="1">
      <c r="C936" s="45"/>
      <c r="D936" s="45"/>
      <c r="E936" s="45"/>
    </row>
    <row r="937" ht="15.75" customHeight="1">
      <c r="C937" s="45"/>
      <c r="D937" s="45"/>
      <c r="E937" s="45"/>
    </row>
    <row r="938" ht="15.75" customHeight="1">
      <c r="C938" s="45"/>
      <c r="D938" s="45"/>
      <c r="E938" s="45"/>
    </row>
    <row r="939" ht="15.75" customHeight="1">
      <c r="C939" s="45"/>
      <c r="D939" s="45"/>
      <c r="E939" s="45"/>
    </row>
    <row r="940" ht="15.75" customHeight="1">
      <c r="C940" s="45"/>
      <c r="D940" s="45"/>
      <c r="E940" s="45"/>
    </row>
    <row r="941" ht="15.75" customHeight="1">
      <c r="C941" s="45"/>
      <c r="D941" s="45"/>
      <c r="E941" s="45"/>
    </row>
    <row r="942" ht="15.75" customHeight="1">
      <c r="C942" s="45"/>
      <c r="D942" s="45"/>
      <c r="E942" s="45"/>
    </row>
    <row r="943" ht="15.75" customHeight="1">
      <c r="C943" s="45"/>
      <c r="D943" s="45"/>
      <c r="E943" s="45"/>
    </row>
    <row r="944" ht="15.75" customHeight="1">
      <c r="C944" s="45"/>
      <c r="D944" s="45"/>
      <c r="E944" s="45"/>
    </row>
    <row r="945" ht="15.75" customHeight="1">
      <c r="C945" s="45"/>
      <c r="D945" s="45"/>
      <c r="E945" s="45"/>
    </row>
    <row r="946" ht="15.75" customHeight="1">
      <c r="C946" s="45"/>
      <c r="D946" s="45"/>
      <c r="E946" s="45"/>
    </row>
    <row r="947" ht="15.75" customHeight="1">
      <c r="C947" s="45"/>
      <c r="D947" s="45"/>
      <c r="E947" s="45"/>
    </row>
    <row r="948" ht="15.75" customHeight="1">
      <c r="C948" s="45"/>
      <c r="D948" s="45"/>
      <c r="E948" s="45"/>
    </row>
    <row r="949" ht="15.75" customHeight="1">
      <c r="C949" s="45"/>
      <c r="D949" s="45"/>
      <c r="E949" s="45"/>
    </row>
    <row r="950" ht="15.75" customHeight="1">
      <c r="C950" s="45"/>
      <c r="D950" s="45"/>
      <c r="E950" s="45"/>
    </row>
    <row r="951" ht="15.75" customHeight="1">
      <c r="C951" s="45"/>
      <c r="D951" s="45"/>
      <c r="E951" s="45"/>
    </row>
    <row r="952" ht="15.75" customHeight="1">
      <c r="C952" s="45"/>
      <c r="D952" s="45"/>
      <c r="E952" s="45"/>
    </row>
    <row r="953" ht="15.75" customHeight="1">
      <c r="C953" s="45"/>
      <c r="D953" s="45"/>
      <c r="E953" s="45"/>
    </row>
    <row r="954" ht="15.75" customHeight="1">
      <c r="C954" s="45"/>
      <c r="D954" s="45"/>
      <c r="E954" s="45"/>
    </row>
    <row r="955" ht="15.75" customHeight="1">
      <c r="C955" s="45"/>
      <c r="D955" s="45"/>
      <c r="E955" s="45"/>
    </row>
    <row r="956" ht="15.75" customHeight="1">
      <c r="C956" s="45"/>
      <c r="D956" s="45"/>
      <c r="E956" s="45"/>
    </row>
    <row r="957" ht="15.75" customHeight="1">
      <c r="C957" s="45"/>
      <c r="D957" s="45"/>
      <c r="E957" s="45"/>
    </row>
    <row r="958" ht="15.75" customHeight="1">
      <c r="C958" s="45"/>
      <c r="D958" s="45"/>
      <c r="E958" s="45"/>
    </row>
    <row r="959" ht="15.75" customHeight="1">
      <c r="C959" s="45"/>
      <c r="D959" s="45"/>
      <c r="E959" s="45"/>
    </row>
    <row r="960" ht="15.75" customHeight="1">
      <c r="C960" s="45"/>
      <c r="D960" s="45"/>
      <c r="E960" s="45"/>
    </row>
    <row r="961" ht="15.75" customHeight="1">
      <c r="C961" s="45"/>
      <c r="D961" s="45"/>
      <c r="E961" s="45"/>
    </row>
    <row r="962" ht="15.75" customHeight="1">
      <c r="C962" s="45"/>
      <c r="D962" s="45"/>
      <c r="E962" s="45"/>
    </row>
    <row r="963" ht="15.75" customHeight="1">
      <c r="C963" s="45"/>
      <c r="D963" s="45"/>
      <c r="E963" s="45"/>
    </row>
    <row r="964" ht="15.75" customHeight="1">
      <c r="C964" s="45"/>
      <c r="D964" s="45"/>
      <c r="E964" s="45"/>
    </row>
    <row r="965" ht="15.75" customHeight="1">
      <c r="C965" s="45"/>
      <c r="D965" s="45"/>
      <c r="E965" s="45"/>
    </row>
    <row r="966" ht="15.75" customHeight="1">
      <c r="C966" s="45"/>
      <c r="D966" s="45"/>
      <c r="E966" s="45"/>
    </row>
    <row r="967" ht="15.75" customHeight="1">
      <c r="C967" s="45"/>
      <c r="D967" s="45"/>
      <c r="E967" s="45"/>
    </row>
    <row r="968" ht="15.75" customHeight="1">
      <c r="C968" s="45"/>
      <c r="D968" s="45"/>
      <c r="E968" s="45"/>
    </row>
    <row r="969" ht="15.75" customHeight="1">
      <c r="C969" s="45"/>
      <c r="D969" s="45"/>
      <c r="E969" s="45"/>
    </row>
    <row r="970" ht="15.75" customHeight="1">
      <c r="C970" s="45"/>
      <c r="D970" s="45"/>
      <c r="E970" s="45"/>
    </row>
    <row r="971" ht="15.75" customHeight="1">
      <c r="C971" s="45"/>
      <c r="D971" s="45"/>
      <c r="E971" s="45"/>
    </row>
    <row r="972" ht="15.75" customHeight="1">
      <c r="C972" s="45"/>
      <c r="D972" s="45"/>
      <c r="E972" s="45"/>
    </row>
    <row r="973" ht="15.75" customHeight="1">
      <c r="C973" s="45"/>
      <c r="D973" s="45"/>
      <c r="E973" s="45"/>
    </row>
    <row r="974" ht="15.75" customHeight="1">
      <c r="C974" s="45"/>
      <c r="D974" s="45"/>
      <c r="E974" s="45"/>
    </row>
    <row r="975" ht="15.75" customHeight="1">
      <c r="C975" s="45"/>
      <c r="D975" s="45"/>
      <c r="E975" s="45"/>
    </row>
    <row r="976" ht="15.75" customHeight="1">
      <c r="C976" s="45"/>
      <c r="D976" s="45"/>
      <c r="E976" s="45"/>
    </row>
    <row r="977" ht="15.75" customHeight="1">
      <c r="C977" s="45"/>
      <c r="D977" s="45"/>
      <c r="E977" s="45"/>
    </row>
    <row r="978" ht="15.75" customHeight="1">
      <c r="C978" s="45"/>
      <c r="D978" s="45"/>
      <c r="E978" s="45"/>
    </row>
    <row r="979" ht="15.75" customHeight="1">
      <c r="C979" s="45"/>
      <c r="D979" s="45"/>
      <c r="E979" s="45"/>
    </row>
    <row r="980" ht="15.75" customHeight="1">
      <c r="C980" s="45"/>
      <c r="D980" s="45"/>
      <c r="E980" s="45"/>
    </row>
    <row r="981" ht="15.75" customHeight="1">
      <c r="C981" s="45"/>
      <c r="D981" s="45"/>
      <c r="E981" s="45"/>
    </row>
    <row r="982" ht="15.75" customHeight="1">
      <c r="C982" s="45"/>
      <c r="D982" s="45"/>
      <c r="E982" s="45"/>
    </row>
    <row r="983" ht="15.75" customHeight="1">
      <c r="C983" s="45"/>
      <c r="D983" s="45"/>
      <c r="E983" s="45"/>
    </row>
    <row r="984" ht="15.75" customHeight="1">
      <c r="C984" s="45"/>
      <c r="D984" s="45"/>
      <c r="E984" s="45"/>
    </row>
    <row r="985" ht="15.75" customHeight="1">
      <c r="C985" s="45"/>
      <c r="D985" s="45"/>
      <c r="E985" s="45"/>
    </row>
    <row r="986" ht="15.75" customHeight="1">
      <c r="C986" s="45"/>
      <c r="D986" s="45"/>
      <c r="E986" s="45"/>
    </row>
    <row r="987" ht="15.75" customHeight="1">
      <c r="C987" s="45"/>
      <c r="D987" s="45"/>
      <c r="E987" s="45"/>
    </row>
    <row r="988" ht="15.75" customHeight="1">
      <c r="C988" s="45"/>
      <c r="D988" s="45"/>
      <c r="E988" s="45"/>
    </row>
    <row r="989" ht="15.75" customHeight="1">
      <c r="C989" s="45"/>
      <c r="D989" s="45"/>
      <c r="E989" s="45"/>
    </row>
    <row r="990" ht="15.75" customHeight="1">
      <c r="C990" s="45"/>
      <c r="D990" s="45"/>
      <c r="E990" s="45"/>
    </row>
    <row r="991" ht="15.75" customHeight="1">
      <c r="C991" s="45"/>
      <c r="D991" s="45"/>
      <c r="E991" s="45"/>
    </row>
    <row r="992" ht="15.75" customHeight="1">
      <c r="C992" s="45"/>
      <c r="D992" s="45"/>
      <c r="E992" s="45"/>
    </row>
    <row r="993" ht="15.75" customHeight="1">
      <c r="C993" s="45"/>
      <c r="D993" s="45"/>
      <c r="E993" s="45"/>
    </row>
    <row r="994" ht="15.75" customHeight="1">
      <c r="C994" s="45"/>
      <c r="D994" s="45"/>
      <c r="E994" s="45"/>
    </row>
    <row r="995" ht="15.75" customHeight="1">
      <c r="C995" s="45"/>
      <c r="D995" s="45"/>
      <c r="E995" s="45"/>
    </row>
    <row r="996" ht="15.75" customHeight="1">
      <c r="C996" s="45"/>
      <c r="D996" s="45"/>
      <c r="E996" s="45"/>
    </row>
    <row r="997" ht="15.75" customHeight="1">
      <c r="C997" s="45"/>
      <c r="D997" s="45"/>
      <c r="E997" s="45"/>
    </row>
    <row r="998" ht="15.75" customHeight="1">
      <c r="C998" s="45"/>
      <c r="D998" s="45"/>
      <c r="E998" s="45"/>
    </row>
    <row r="999" ht="15.75" customHeight="1">
      <c r="C999" s="45"/>
      <c r="D999" s="45"/>
      <c r="E999" s="45"/>
    </row>
    <row r="1000" ht="15.75" customHeight="1">
      <c r="C1000" s="45"/>
      <c r="D1000" s="45"/>
      <c r="E1000" s="45"/>
    </row>
  </sheetData>
  <mergeCells count="8">
    <mergeCell ref="A1:B1"/>
    <mergeCell ref="A3:B3"/>
    <mergeCell ref="A8:B8"/>
    <mergeCell ref="A14:B14"/>
    <mergeCell ref="A18:B18"/>
    <mergeCell ref="A24:B24"/>
    <mergeCell ref="A28:B28"/>
    <mergeCell ref="A30:B30"/>
  </mergeCells>
  <printOptions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47.14"/>
    <col customWidth="1" min="3" max="5" width="11.43"/>
    <col customWidth="1" min="6" max="7" width="3.14"/>
    <col customWidth="1" min="8" max="8" width="9.57"/>
    <col customWidth="1" min="9" max="9" width="9.43"/>
    <col customWidth="1" min="10" max="10" width="8.29"/>
    <col customWidth="1" min="11" max="11" width="5.0"/>
    <col customWidth="1" min="12" max="12" width="4.86"/>
    <col customWidth="1" min="13" max="13" width="15.14"/>
    <col customWidth="1" min="14" max="14" width="18.0"/>
    <col customWidth="1" min="15" max="15" width="11.43"/>
    <col customWidth="1" min="16" max="16" width="17.29"/>
    <col customWidth="1" min="17" max="17" width="16.71"/>
    <col customWidth="1" min="18" max="26" width="11.43"/>
  </cols>
  <sheetData>
    <row r="1" ht="18.0" customHeight="1">
      <c r="A1" s="46" t="s">
        <v>29</v>
      </c>
      <c r="C1" s="45"/>
      <c r="D1" s="45"/>
      <c r="E1" s="45"/>
      <c r="G1" s="47"/>
      <c r="H1" s="47"/>
      <c r="I1" s="48" t="s">
        <v>1</v>
      </c>
      <c r="J1" s="47"/>
      <c r="K1" s="47"/>
      <c r="L1" s="47"/>
      <c r="M1" s="47"/>
      <c r="N1" s="47"/>
      <c r="O1" s="48" t="s">
        <v>2</v>
      </c>
      <c r="P1" s="47"/>
      <c r="Q1" s="47"/>
    </row>
    <row r="2" ht="15.0" customHeight="1">
      <c r="C2" s="45"/>
      <c r="D2" s="45"/>
      <c r="E2" s="45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>
      <c r="A3" s="49" t="s">
        <v>3</v>
      </c>
      <c r="B3" s="50"/>
      <c r="C3" s="51">
        <v>2024.0</v>
      </c>
      <c r="D3" s="51">
        <v>2023.0</v>
      </c>
      <c r="E3" s="52">
        <v>2022.0</v>
      </c>
      <c r="F3" s="13"/>
      <c r="G3" s="53"/>
      <c r="H3" s="53">
        <v>2024.0</v>
      </c>
      <c r="I3" s="53">
        <v>2023.0</v>
      </c>
      <c r="J3" s="53">
        <v>2022.0</v>
      </c>
      <c r="K3" s="4"/>
      <c r="L3" s="4"/>
      <c r="M3" s="54" t="s">
        <v>7</v>
      </c>
      <c r="N3" s="54" t="s">
        <v>8</v>
      </c>
      <c r="O3" s="4"/>
      <c r="P3" s="54" t="s">
        <v>30</v>
      </c>
      <c r="Q3" s="54" t="s">
        <v>10</v>
      </c>
      <c r="R3" s="13"/>
      <c r="S3" s="13"/>
      <c r="T3" s="13"/>
      <c r="U3" s="13"/>
      <c r="V3" s="13"/>
      <c r="W3" s="13"/>
      <c r="X3" s="13"/>
      <c r="Y3" s="13"/>
      <c r="Z3" s="13"/>
    </row>
    <row r="4">
      <c r="A4" s="55"/>
      <c r="B4" s="56"/>
      <c r="C4" s="57"/>
      <c r="D4" s="57"/>
      <c r="E4" s="58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>
      <c r="A5" s="55" t="s">
        <v>31</v>
      </c>
      <c r="B5" s="56"/>
      <c r="C5" s="57"/>
      <c r="D5" s="57"/>
      <c r="E5" s="58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</row>
    <row r="6">
      <c r="A6" s="55"/>
      <c r="B6" s="56" t="s">
        <v>32</v>
      </c>
      <c r="C6" s="57">
        <v>26280.0</v>
      </c>
      <c r="D6" s="57">
        <v>25589.0</v>
      </c>
      <c r="E6" s="58">
        <v>25432.0</v>
      </c>
      <c r="G6" s="27"/>
      <c r="H6" s="27">
        <f t="shared" ref="H6:J6" si="1">C6/C20</f>
        <v>0.1761512166</v>
      </c>
      <c r="I6" s="27">
        <f t="shared" si="1"/>
        <v>0.1780798085</v>
      </c>
      <c r="J6" s="27">
        <f t="shared" si="1"/>
        <v>0.1888804718</v>
      </c>
      <c r="K6" s="59"/>
      <c r="L6" s="59"/>
      <c r="M6" s="28">
        <f t="shared" ref="M6:M11" si="3">C6-D6</f>
        <v>691</v>
      </c>
      <c r="N6" s="27">
        <f t="shared" ref="N6:N11" si="4">(C6-D6)/D6</f>
        <v>0.02700379069</v>
      </c>
      <c r="O6" s="24"/>
      <c r="P6" s="28">
        <f t="shared" ref="P6:P11" si="5">D6-E6</f>
        <v>157</v>
      </c>
      <c r="Q6" s="27">
        <f t="shared" ref="Q6:Q11" si="6">(D6-E6)/E6</f>
        <v>0.006173324945</v>
      </c>
    </row>
    <row r="7">
      <c r="A7" s="55"/>
      <c r="B7" s="56" t="s">
        <v>33</v>
      </c>
      <c r="C7" s="57">
        <v>20307.0</v>
      </c>
      <c r="D7" s="57">
        <v>24022.0</v>
      </c>
      <c r="E7" s="58">
        <v>24782.0</v>
      </c>
      <c r="G7" s="27"/>
      <c r="H7" s="27">
        <f t="shared" ref="H7:J7" si="2">C7/C20</f>
        <v>0.1361150211</v>
      </c>
      <c r="I7" s="27">
        <f t="shared" si="2"/>
        <v>0.1671746907</v>
      </c>
      <c r="J7" s="27">
        <f t="shared" si="2"/>
        <v>0.1840529982</v>
      </c>
      <c r="K7" s="59"/>
      <c r="L7" s="59"/>
      <c r="M7" s="28">
        <f t="shared" si="3"/>
        <v>-3715</v>
      </c>
      <c r="N7" s="27">
        <f t="shared" si="4"/>
        <v>-0.1546499043</v>
      </c>
      <c r="O7" s="24"/>
      <c r="P7" s="28">
        <f t="shared" si="5"/>
        <v>-760</v>
      </c>
      <c r="Q7" s="27">
        <f t="shared" si="6"/>
        <v>-0.0306674199</v>
      </c>
    </row>
    <row r="8">
      <c r="A8" s="55"/>
      <c r="B8" s="56" t="s">
        <v>34</v>
      </c>
      <c r="C8" s="57">
        <v>29886.0</v>
      </c>
      <c r="D8" s="57">
        <v>27331.0</v>
      </c>
      <c r="E8" s="58">
        <v>23055.0</v>
      </c>
      <c r="G8" s="27"/>
      <c r="H8" s="27">
        <f t="shared" ref="H8:J8" si="7">C8/C20</f>
        <v>0.2003217374</v>
      </c>
      <c r="I8" s="27">
        <f t="shared" si="7"/>
        <v>0.190202792</v>
      </c>
      <c r="J8" s="27">
        <f t="shared" si="7"/>
        <v>0.1712267724</v>
      </c>
      <c r="K8" s="59"/>
      <c r="L8" s="59"/>
      <c r="M8" s="28">
        <f t="shared" si="3"/>
        <v>2555</v>
      </c>
      <c r="N8" s="27">
        <f t="shared" si="4"/>
        <v>0.09348359006</v>
      </c>
      <c r="O8" s="24"/>
      <c r="P8" s="28">
        <f t="shared" si="5"/>
        <v>4276</v>
      </c>
      <c r="Q8" s="27">
        <f t="shared" si="6"/>
        <v>0.1854695294</v>
      </c>
    </row>
    <row r="9">
      <c r="A9" s="55"/>
      <c r="B9" s="56" t="s">
        <v>35</v>
      </c>
      <c r="C9" s="57">
        <v>16620.0</v>
      </c>
      <c r="D9" s="57">
        <v>15679.0</v>
      </c>
      <c r="E9" s="58">
        <v>14615.0</v>
      </c>
      <c r="G9" s="27"/>
      <c r="H9" s="27">
        <f t="shared" ref="H9:J9" si="8">C9/C20</f>
        <v>0.1114015685</v>
      </c>
      <c r="I9" s="27">
        <f t="shared" si="8"/>
        <v>0.1091138113</v>
      </c>
      <c r="J9" s="27">
        <f t="shared" si="8"/>
        <v>0.1085438854</v>
      </c>
      <c r="K9" s="59"/>
      <c r="L9" s="59"/>
      <c r="M9" s="28">
        <f t="shared" si="3"/>
        <v>941</v>
      </c>
      <c r="N9" s="27">
        <f t="shared" si="4"/>
        <v>0.06001658269</v>
      </c>
      <c r="O9" s="24"/>
      <c r="P9" s="28">
        <f t="shared" si="5"/>
        <v>1064</v>
      </c>
      <c r="Q9" s="27">
        <f t="shared" si="6"/>
        <v>0.07280191584</v>
      </c>
    </row>
    <row r="10">
      <c r="A10" s="55"/>
      <c r="B10" s="56" t="s">
        <v>36</v>
      </c>
      <c r="C10" s="60">
        <f>1343+1632+1106+4545</f>
        <v>8626</v>
      </c>
      <c r="D10" s="60">
        <f>991+1363+1017+3992</f>
        <v>7363</v>
      </c>
      <c r="E10" s="61">
        <f>1066+1109+1186+3661</f>
        <v>7022</v>
      </c>
      <c r="G10" s="27"/>
      <c r="H10" s="27">
        <f t="shared" ref="H10:J10" si="9">C10/C20</f>
        <v>0.05781888867</v>
      </c>
      <c r="I10" s="27">
        <f t="shared" si="9"/>
        <v>0.05124083121</v>
      </c>
      <c r="J10" s="27">
        <f t="shared" si="9"/>
        <v>0.05215156781</v>
      </c>
      <c r="K10" s="59"/>
      <c r="L10" s="59"/>
      <c r="M10" s="28">
        <f t="shared" si="3"/>
        <v>1263</v>
      </c>
      <c r="N10" s="27">
        <f t="shared" si="4"/>
        <v>0.1715333424</v>
      </c>
      <c r="O10" s="24"/>
      <c r="P10" s="28">
        <f t="shared" si="5"/>
        <v>341</v>
      </c>
      <c r="Q10" s="27">
        <f t="shared" si="6"/>
        <v>0.04856166334</v>
      </c>
    </row>
    <row r="11">
      <c r="A11" s="55"/>
      <c r="B11" s="62" t="s">
        <v>37</v>
      </c>
      <c r="C11" s="63">
        <f t="shared" ref="C11:E11" si="10">SUM(C6:C10)</f>
        <v>101719</v>
      </c>
      <c r="D11" s="63">
        <f t="shared" si="10"/>
        <v>99984</v>
      </c>
      <c r="E11" s="64">
        <f t="shared" si="10"/>
        <v>94906</v>
      </c>
      <c r="G11" s="23"/>
      <c r="H11" s="23">
        <f t="shared" ref="H11:J11" si="11">C11/C20</f>
        <v>0.6818084322</v>
      </c>
      <c r="I11" s="23">
        <f t="shared" si="11"/>
        <v>0.6958119337</v>
      </c>
      <c r="J11" s="23">
        <f t="shared" si="11"/>
        <v>0.7048556957</v>
      </c>
      <c r="K11" s="47"/>
      <c r="L11" s="24"/>
      <c r="M11" s="22">
        <f t="shared" si="3"/>
        <v>1735</v>
      </c>
      <c r="N11" s="23">
        <f t="shared" si="4"/>
        <v>0.01735277644</v>
      </c>
      <c r="O11" s="24"/>
      <c r="P11" s="22">
        <f t="shared" si="5"/>
        <v>5078</v>
      </c>
      <c r="Q11" s="23">
        <f t="shared" si="6"/>
        <v>0.05350557394</v>
      </c>
    </row>
    <row r="12">
      <c r="A12" s="55"/>
      <c r="B12" s="56"/>
      <c r="C12" s="57"/>
      <c r="D12" s="57"/>
      <c r="E12" s="58"/>
      <c r="G12" s="47"/>
      <c r="H12" s="47"/>
      <c r="I12" s="47"/>
      <c r="J12" s="47"/>
      <c r="K12" s="47"/>
      <c r="L12" s="24"/>
      <c r="M12" s="24"/>
      <c r="N12" s="30"/>
      <c r="O12" s="24"/>
      <c r="P12" s="24"/>
      <c r="Q12" s="30"/>
    </row>
    <row r="13">
      <c r="A13" s="55" t="s">
        <v>38</v>
      </c>
      <c r="B13" s="56"/>
      <c r="C13" s="57"/>
      <c r="D13" s="57"/>
      <c r="E13" s="58"/>
      <c r="G13" s="59"/>
      <c r="H13" s="59"/>
      <c r="I13" s="59"/>
      <c r="J13" s="59"/>
      <c r="K13" s="59"/>
      <c r="L13" s="59"/>
      <c r="M13" s="24"/>
      <c r="N13" s="30"/>
      <c r="O13" s="24"/>
      <c r="P13" s="24"/>
      <c r="Q13" s="30"/>
    </row>
    <row r="14">
      <c r="A14" s="55"/>
      <c r="B14" s="56" t="s">
        <v>39</v>
      </c>
      <c r="C14" s="57">
        <v>23669.0</v>
      </c>
      <c r="D14" s="57">
        <v>22952.0</v>
      </c>
      <c r="E14" s="58">
        <v>20319.0</v>
      </c>
      <c r="G14" s="27"/>
      <c r="H14" s="27">
        <f t="shared" ref="H14:J14" si="12">C14/C20</f>
        <v>0.1586500436</v>
      </c>
      <c r="I14" s="27">
        <f t="shared" si="12"/>
        <v>0.1597283116</v>
      </c>
      <c r="J14" s="27">
        <f t="shared" si="12"/>
        <v>0.1509068223</v>
      </c>
      <c r="K14" s="59"/>
      <c r="L14" s="59"/>
      <c r="M14" s="28">
        <f t="shared" ref="M14:M18" si="14">C14-D14</f>
        <v>717</v>
      </c>
      <c r="N14" s="27">
        <f t="shared" ref="N14:N18" si="15">(C14-D14)/D14</f>
        <v>0.0312391077</v>
      </c>
      <c r="O14" s="24"/>
      <c r="P14" s="28">
        <f t="shared" ref="P14:P18" si="16">D14-E14</f>
        <v>2633</v>
      </c>
      <c r="Q14" s="27">
        <f t="shared" ref="Q14:Q18" si="17">(D14-E14)/E14</f>
        <v>0.1295831488</v>
      </c>
    </row>
    <row r="15">
      <c r="A15" s="55"/>
      <c r="B15" s="56" t="s">
        <v>40</v>
      </c>
      <c r="C15" s="57">
        <v>4730.0</v>
      </c>
      <c r="D15" s="57">
        <v>4728.0</v>
      </c>
      <c r="E15" s="58">
        <v>4258.0</v>
      </c>
      <c r="G15" s="27"/>
      <c r="H15" s="27">
        <f t="shared" ref="H15:J15" si="13">C15/C20</f>
        <v>0.03170453784</v>
      </c>
      <c r="I15" s="27">
        <f t="shared" si="13"/>
        <v>0.03290325275</v>
      </c>
      <c r="J15" s="27">
        <f t="shared" si="13"/>
        <v>0.03162366502</v>
      </c>
      <c r="K15" s="59"/>
      <c r="L15" s="59"/>
      <c r="M15" s="28">
        <f t="shared" si="14"/>
        <v>2</v>
      </c>
      <c r="N15" s="35">
        <f t="shared" si="15"/>
        <v>0.0004230118443</v>
      </c>
      <c r="O15" s="24"/>
      <c r="P15" s="28">
        <f t="shared" si="16"/>
        <v>470</v>
      </c>
      <c r="Q15" s="27">
        <f t="shared" si="17"/>
        <v>0.1103804603</v>
      </c>
    </row>
    <row r="16">
      <c r="A16" s="55"/>
      <c r="B16" s="56" t="s">
        <v>41</v>
      </c>
      <c r="C16" s="57">
        <f>986+8455</f>
        <v>9441</v>
      </c>
      <c r="D16" s="57">
        <f>533+7723</f>
        <v>8256</v>
      </c>
      <c r="E16" s="58">
        <f>375+7488</f>
        <v>7863</v>
      </c>
      <c r="G16" s="27"/>
      <c r="H16" s="27">
        <f t="shared" ref="H16:J16" si="18">C16/C20</f>
        <v>0.06328172129</v>
      </c>
      <c r="I16" s="27">
        <f t="shared" si="18"/>
        <v>0.05745542611</v>
      </c>
      <c r="J16" s="27">
        <f t="shared" si="18"/>
        <v>0.05839757587</v>
      </c>
      <c r="K16" s="59"/>
      <c r="L16" s="59"/>
      <c r="M16" s="28">
        <f t="shared" si="14"/>
        <v>1185</v>
      </c>
      <c r="N16" s="27">
        <f t="shared" si="15"/>
        <v>0.1435319767</v>
      </c>
      <c r="O16" s="24"/>
      <c r="P16" s="28">
        <f t="shared" si="16"/>
        <v>393</v>
      </c>
      <c r="Q16" s="27">
        <f t="shared" si="17"/>
        <v>0.04998092331</v>
      </c>
    </row>
    <row r="17">
      <c r="A17" s="55"/>
      <c r="B17" s="56" t="s">
        <v>42</v>
      </c>
      <c r="C17" s="60">
        <v>9631.0</v>
      </c>
      <c r="D17" s="60">
        <v>7774.0</v>
      </c>
      <c r="E17" s="61">
        <v>7300.0</v>
      </c>
      <c r="G17" s="26"/>
      <c r="H17" s="26">
        <f t="shared" ref="H17:J17" si="19">C17/C20</f>
        <v>0.0645552651</v>
      </c>
      <c r="I17" s="26">
        <f t="shared" si="19"/>
        <v>0.0541010759</v>
      </c>
      <c r="J17" s="26">
        <f t="shared" si="19"/>
        <v>0.05421624111</v>
      </c>
      <c r="K17" s="59"/>
      <c r="L17" s="59"/>
      <c r="M17" s="28">
        <f t="shared" si="14"/>
        <v>1857</v>
      </c>
      <c r="N17" s="27">
        <f t="shared" si="15"/>
        <v>0.238873167</v>
      </c>
      <c r="O17" s="24"/>
      <c r="P17" s="28">
        <f t="shared" si="16"/>
        <v>474</v>
      </c>
      <c r="Q17" s="27">
        <f t="shared" si="17"/>
        <v>0.06493150685</v>
      </c>
    </row>
    <row r="18">
      <c r="A18" s="55"/>
      <c r="B18" s="62" t="s">
        <v>43</v>
      </c>
      <c r="C18" s="63">
        <f t="shared" ref="C18:E18" si="20">SUM(C14:C17)</f>
        <v>47471</v>
      </c>
      <c r="D18" s="63">
        <f t="shared" si="20"/>
        <v>43710</v>
      </c>
      <c r="E18" s="64">
        <f t="shared" si="20"/>
        <v>39740</v>
      </c>
      <c r="F18" s="13"/>
      <c r="G18" s="23"/>
      <c r="H18" s="23">
        <f t="shared" ref="H18:J18" si="21">C18/C20</f>
        <v>0.3181915678</v>
      </c>
      <c r="I18" s="23">
        <f t="shared" si="21"/>
        <v>0.3041880663</v>
      </c>
      <c r="J18" s="23">
        <f t="shared" si="21"/>
        <v>0.2951443043</v>
      </c>
      <c r="K18" s="4"/>
      <c r="L18" s="24"/>
      <c r="M18" s="28">
        <f t="shared" si="14"/>
        <v>3761</v>
      </c>
      <c r="N18" s="27">
        <f t="shared" si="15"/>
        <v>0.08604438344</v>
      </c>
      <c r="O18" s="24"/>
      <c r="P18" s="28">
        <f t="shared" si="16"/>
        <v>3970</v>
      </c>
      <c r="Q18" s="27">
        <f t="shared" si="17"/>
        <v>0.09989934575</v>
      </c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55"/>
      <c r="B19" s="56"/>
      <c r="C19" s="57"/>
      <c r="D19" s="57"/>
      <c r="E19" s="58"/>
      <c r="G19" s="47"/>
      <c r="H19" s="47"/>
      <c r="I19" s="47"/>
      <c r="J19" s="47"/>
      <c r="K19" s="47"/>
      <c r="L19" s="24"/>
      <c r="M19" s="24"/>
      <c r="N19" s="30"/>
      <c r="O19" s="24"/>
      <c r="P19" s="24"/>
      <c r="Q19" s="30"/>
    </row>
    <row r="20">
      <c r="A20" s="65" t="s">
        <v>44</v>
      </c>
      <c r="B20" s="62"/>
      <c r="C20" s="63">
        <f t="shared" ref="C20:E20" si="22">C11+C18</f>
        <v>149190</v>
      </c>
      <c r="D20" s="63">
        <f t="shared" si="22"/>
        <v>143694</v>
      </c>
      <c r="E20" s="64">
        <f t="shared" si="22"/>
        <v>134646</v>
      </c>
      <c r="G20" s="21"/>
      <c r="H20" s="21">
        <v>1.0</v>
      </c>
      <c r="I20" s="21">
        <v>1.0</v>
      </c>
      <c r="J20" s="21">
        <v>1.0</v>
      </c>
      <c r="K20" s="47"/>
      <c r="L20" s="24"/>
      <c r="M20" s="22">
        <f>C20-D20</f>
        <v>5496</v>
      </c>
      <c r="N20" s="23">
        <f>(C20-D20)/D20</f>
        <v>0.03824794355</v>
      </c>
      <c r="O20" s="24"/>
      <c r="P20" s="22">
        <f>D20-E20</f>
        <v>9048</v>
      </c>
      <c r="Q20" s="23">
        <f>(D20-E20)/E20</f>
        <v>0.06719843144</v>
      </c>
    </row>
    <row r="21" ht="15.0" customHeight="1">
      <c r="A21" s="66"/>
      <c r="B21" s="67"/>
      <c r="C21" s="68"/>
      <c r="D21" s="68"/>
      <c r="E21" s="69"/>
      <c r="G21" s="47"/>
      <c r="H21" s="47"/>
      <c r="I21" s="47"/>
      <c r="J21" s="47"/>
      <c r="K21" s="47"/>
      <c r="L21" s="24"/>
      <c r="M21" s="24"/>
      <c r="N21" s="30"/>
      <c r="O21" s="24"/>
      <c r="P21" s="24"/>
      <c r="Q21" s="30"/>
    </row>
    <row r="22" ht="15.0" customHeight="1">
      <c r="G22" s="47"/>
      <c r="H22" s="47"/>
      <c r="I22" s="47"/>
      <c r="J22" s="47"/>
      <c r="K22" s="47"/>
      <c r="L22" s="24"/>
      <c r="M22" s="24"/>
      <c r="N22" s="30"/>
      <c r="O22" s="24"/>
      <c r="P22" s="24"/>
      <c r="Q22" s="30"/>
    </row>
    <row r="23" ht="15.75" customHeight="1">
      <c r="A23" s="49" t="s">
        <v>3</v>
      </c>
      <c r="B23" s="50"/>
      <c r="C23" s="51">
        <v>2024.0</v>
      </c>
      <c r="D23" s="51">
        <v>2023.0</v>
      </c>
      <c r="E23" s="52">
        <v>2022.0</v>
      </c>
      <c r="G23" s="47"/>
      <c r="H23" s="47"/>
      <c r="I23" s="47"/>
      <c r="J23" s="47"/>
      <c r="K23" s="47"/>
      <c r="L23" s="24"/>
      <c r="M23" s="24"/>
      <c r="N23" s="30"/>
      <c r="O23" s="24"/>
      <c r="P23" s="24"/>
      <c r="Q23" s="30"/>
    </row>
    <row r="24" ht="15.75" customHeight="1">
      <c r="A24" s="55"/>
      <c r="B24" s="56"/>
      <c r="C24" s="57"/>
      <c r="D24" s="57"/>
      <c r="E24" s="58"/>
      <c r="G24" s="59"/>
      <c r="H24" s="59"/>
      <c r="I24" s="59"/>
      <c r="J24" s="59"/>
      <c r="K24" s="59"/>
      <c r="L24" s="59"/>
      <c r="M24" s="24"/>
      <c r="N24" s="30"/>
      <c r="O24" s="24"/>
      <c r="P24" s="24"/>
      <c r="Q24" s="30"/>
    </row>
    <row r="25" ht="15.75" customHeight="1">
      <c r="A25" s="55" t="s">
        <v>45</v>
      </c>
      <c r="B25" s="56"/>
      <c r="C25" s="57"/>
      <c r="D25" s="57"/>
      <c r="E25" s="58"/>
      <c r="G25" s="59"/>
      <c r="H25" s="59"/>
      <c r="I25" s="59"/>
      <c r="J25" s="59"/>
      <c r="K25" s="59"/>
      <c r="L25" s="59"/>
      <c r="M25" s="24"/>
      <c r="N25" s="30"/>
      <c r="O25" s="24"/>
      <c r="P25" s="24"/>
      <c r="Q25" s="30"/>
    </row>
    <row r="26" ht="15.75" customHeight="1">
      <c r="A26" s="55"/>
      <c r="B26" s="56" t="s">
        <v>46</v>
      </c>
      <c r="C26" s="57">
        <f>150+53</f>
        <v>203</v>
      </c>
      <c r="D26" s="57">
        <f>151+530</f>
        <v>681</v>
      </c>
      <c r="E26" s="58">
        <f>151+1289</f>
        <v>1440</v>
      </c>
      <c r="G26" s="27"/>
      <c r="H26" s="27">
        <f t="shared" ref="H26:J26" si="23">C26/C48</f>
        <v>0.001360681011</v>
      </c>
      <c r="I26" s="27">
        <f t="shared" si="23"/>
        <v>0.004739237546</v>
      </c>
      <c r="J26" s="27">
        <f t="shared" si="23"/>
        <v>0.01069471057</v>
      </c>
      <c r="K26" s="59"/>
      <c r="L26" s="59"/>
      <c r="M26" s="28">
        <f t="shared" ref="M26:M32" si="25">C26-D26</f>
        <v>-478</v>
      </c>
      <c r="N26" s="27">
        <f t="shared" ref="N26:N32" si="26">(C26-D26)/D26</f>
        <v>-0.7019089574</v>
      </c>
      <c r="O26" s="24"/>
      <c r="P26" s="28">
        <f t="shared" ref="P26:P32" si="27">D26-E26</f>
        <v>-759</v>
      </c>
      <c r="Q26" s="27">
        <f t="shared" ref="Q26:Q32" si="28">(D26-E26)/E26</f>
        <v>-0.5270833333</v>
      </c>
    </row>
    <row r="27" ht="15.75" customHeight="1">
      <c r="A27" s="55"/>
      <c r="B27" s="56" t="s">
        <v>47</v>
      </c>
      <c r="C27" s="57">
        <v>-603.0</v>
      </c>
      <c r="D27" s="57">
        <v>-1953.0</v>
      </c>
      <c r="E27" s="58">
        <v>-1293.0</v>
      </c>
      <c r="G27" s="27"/>
      <c r="H27" s="27">
        <f t="shared" ref="H27:J27" si="24">C27/C48</f>
        <v>-0.00404182586</v>
      </c>
      <c r="I27" s="27">
        <f t="shared" si="24"/>
        <v>-0.01359138169</v>
      </c>
      <c r="J27" s="27">
        <f t="shared" si="24"/>
        <v>-0.00960295887</v>
      </c>
      <c r="K27" s="59"/>
      <c r="L27" s="59"/>
      <c r="M27" s="28">
        <f t="shared" si="25"/>
        <v>1350</v>
      </c>
      <c r="N27" s="27">
        <f t="shared" si="26"/>
        <v>-0.6912442396</v>
      </c>
      <c r="O27" s="24"/>
      <c r="P27" s="28">
        <f t="shared" si="27"/>
        <v>-660</v>
      </c>
      <c r="Q27" s="27">
        <f t="shared" si="28"/>
        <v>0.5104408353</v>
      </c>
    </row>
    <row r="28" ht="15.75" customHeight="1">
      <c r="A28" s="55"/>
      <c r="B28" s="56" t="s">
        <v>48</v>
      </c>
      <c r="C28" s="57">
        <f>2881-161+1173+218</f>
        <v>4111</v>
      </c>
      <c r="D28" s="57">
        <f>1525+66+1156+170-1</f>
        <v>2916</v>
      </c>
      <c r="E28" s="58">
        <f>2586+9+1125+151+1</f>
        <v>3872</v>
      </c>
      <c r="G28" s="27"/>
      <c r="H28" s="27">
        <f t="shared" ref="H28:J28" si="29">C28/C48</f>
        <v>0.02755546618</v>
      </c>
      <c r="I28" s="27">
        <f t="shared" si="29"/>
        <v>0.02029312289</v>
      </c>
      <c r="J28" s="27">
        <f t="shared" si="29"/>
        <v>0.02875688843</v>
      </c>
      <c r="K28" s="59"/>
      <c r="L28" s="59"/>
      <c r="M28" s="28">
        <f t="shared" si="25"/>
        <v>1195</v>
      </c>
      <c r="N28" s="27">
        <f t="shared" si="26"/>
        <v>0.4098079561</v>
      </c>
      <c r="O28" s="24"/>
      <c r="P28" s="28">
        <f t="shared" si="27"/>
        <v>-956</v>
      </c>
      <c r="Q28" s="27">
        <f t="shared" si="28"/>
        <v>-0.2469008264</v>
      </c>
    </row>
    <row r="29" ht="15.75" customHeight="1">
      <c r="A29" s="55"/>
      <c r="B29" s="56" t="s">
        <v>49</v>
      </c>
      <c r="C29" s="57">
        <f>63806-12550</f>
        <v>51256</v>
      </c>
      <c r="D29" s="57">
        <f>59373-15174</f>
        <v>44199</v>
      </c>
      <c r="E29" s="58">
        <f>51092-14084</f>
        <v>37008</v>
      </c>
      <c r="G29" s="27"/>
      <c r="H29" s="27">
        <f t="shared" ref="H29:J29" si="30">C29/C48</f>
        <v>0.3435619009</v>
      </c>
      <c r="I29" s="27">
        <f t="shared" si="30"/>
        <v>0.3075911312</v>
      </c>
      <c r="J29" s="27">
        <f t="shared" si="30"/>
        <v>0.2748540618</v>
      </c>
      <c r="K29" s="59"/>
      <c r="L29" s="59"/>
      <c r="M29" s="28">
        <f t="shared" si="25"/>
        <v>7057</v>
      </c>
      <c r="N29" s="27">
        <f t="shared" si="26"/>
        <v>0.1596642458</v>
      </c>
      <c r="O29" s="24"/>
      <c r="P29" s="28">
        <f t="shared" si="27"/>
        <v>7191</v>
      </c>
      <c r="Q29" s="27">
        <f t="shared" si="28"/>
        <v>0.1943093385</v>
      </c>
    </row>
    <row r="30" ht="15.75" customHeight="1">
      <c r="A30" s="55"/>
      <c r="B30" s="56" t="s">
        <v>50</v>
      </c>
      <c r="C30" s="57">
        <v>12550.0</v>
      </c>
      <c r="D30" s="57">
        <v>15174.0</v>
      </c>
      <c r="E30" s="58">
        <v>14084.0</v>
      </c>
      <c r="G30" s="27"/>
      <c r="H30" s="27">
        <f t="shared" ref="H30:J30" si="31">C30/C48</f>
        <v>0.08412091963</v>
      </c>
      <c r="I30" s="27">
        <f t="shared" si="31"/>
        <v>0.1055993987</v>
      </c>
      <c r="J30" s="27">
        <f t="shared" si="31"/>
        <v>0.1046002109</v>
      </c>
      <c r="K30" s="59"/>
      <c r="L30" s="59"/>
      <c r="M30" s="28">
        <f t="shared" si="25"/>
        <v>-2624</v>
      </c>
      <c r="N30" s="27">
        <f t="shared" si="26"/>
        <v>-0.1729273758</v>
      </c>
      <c r="O30" s="24"/>
      <c r="P30" s="28">
        <f t="shared" si="27"/>
        <v>1090</v>
      </c>
      <c r="Q30" s="27">
        <f t="shared" si="28"/>
        <v>0.07739278614</v>
      </c>
    </row>
    <row r="31" ht="15.75" customHeight="1">
      <c r="A31" s="55"/>
      <c r="B31" s="56" t="s">
        <v>51</v>
      </c>
      <c r="C31" s="60">
        <v>1770.0</v>
      </c>
      <c r="D31" s="60">
        <v>1684.0</v>
      </c>
      <c r="E31" s="61">
        <v>1493.0</v>
      </c>
      <c r="G31" s="27"/>
      <c r="H31" s="27">
        <f t="shared" ref="H31:J31" si="32">C31/C48</f>
        <v>0.01186406596</v>
      </c>
      <c r="I31" s="27">
        <f t="shared" si="32"/>
        <v>0.01171934806</v>
      </c>
      <c r="J31" s="27">
        <f t="shared" si="32"/>
        <v>0.01108833534</v>
      </c>
      <c r="K31" s="59"/>
      <c r="L31" s="59"/>
      <c r="M31" s="28">
        <f t="shared" si="25"/>
        <v>86</v>
      </c>
      <c r="N31" s="27">
        <f t="shared" si="26"/>
        <v>0.05106888361</v>
      </c>
      <c r="O31" s="24"/>
      <c r="P31" s="28">
        <f t="shared" si="27"/>
        <v>191</v>
      </c>
      <c r="Q31" s="27">
        <f t="shared" si="28"/>
        <v>0.1279303416</v>
      </c>
    </row>
    <row r="32" ht="15.75" customHeight="1">
      <c r="A32" s="55"/>
      <c r="B32" s="62" t="s">
        <v>52</v>
      </c>
      <c r="C32" s="63">
        <f t="shared" ref="C32:E32" si="33">SUM(C26:C31)</f>
        <v>69287</v>
      </c>
      <c r="D32" s="63">
        <f t="shared" si="33"/>
        <v>62701</v>
      </c>
      <c r="E32" s="64">
        <f t="shared" si="33"/>
        <v>56604</v>
      </c>
      <c r="G32" s="23"/>
      <c r="H32" s="23">
        <f t="shared" ref="H32:J32" si="34">C32/C48</f>
        <v>0.4644212079</v>
      </c>
      <c r="I32" s="23">
        <f t="shared" si="34"/>
        <v>0.4363508567</v>
      </c>
      <c r="J32" s="23">
        <f t="shared" si="34"/>
        <v>0.4203912482</v>
      </c>
      <c r="K32" s="59"/>
      <c r="L32" s="59"/>
      <c r="M32" s="22">
        <f t="shared" si="25"/>
        <v>6586</v>
      </c>
      <c r="N32" s="23">
        <f t="shared" si="26"/>
        <v>0.1050381972</v>
      </c>
      <c r="O32" s="24"/>
      <c r="P32" s="22">
        <f t="shared" si="27"/>
        <v>6097</v>
      </c>
      <c r="Q32" s="23">
        <f t="shared" si="28"/>
        <v>0.1077132358</v>
      </c>
    </row>
    <row r="33" ht="15.75" customHeight="1">
      <c r="A33" s="55"/>
      <c r="B33" s="56"/>
      <c r="C33" s="57"/>
      <c r="D33" s="57"/>
      <c r="E33" s="58"/>
      <c r="G33" s="59"/>
      <c r="H33" s="59"/>
      <c r="I33" s="59"/>
      <c r="J33" s="59"/>
      <c r="K33" s="59"/>
      <c r="L33" s="59"/>
      <c r="M33" s="24"/>
      <c r="N33" s="30"/>
      <c r="O33" s="24"/>
      <c r="P33" s="24"/>
      <c r="Q33" s="30"/>
    </row>
    <row r="34" ht="15.75" customHeight="1">
      <c r="A34" s="55" t="s">
        <v>53</v>
      </c>
      <c r="B34" s="56"/>
      <c r="C34" s="57"/>
      <c r="D34" s="57"/>
      <c r="E34" s="58"/>
      <c r="G34" s="59"/>
      <c r="H34" s="59"/>
      <c r="I34" s="59"/>
      <c r="J34" s="59"/>
      <c r="K34" s="59"/>
      <c r="L34" s="59"/>
      <c r="M34" s="24"/>
      <c r="N34" s="30"/>
      <c r="O34" s="24"/>
      <c r="P34" s="24"/>
      <c r="Q34" s="30"/>
    </row>
    <row r="35" ht="15.75" customHeight="1">
      <c r="A35" s="55"/>
      <c r="B35" s="56" t="s">
        <v>54</v>
      </c>
      <c r="C35" s="57">
        <v>12091.0</v>
      </c>
      <c r="D35" s="57">
        <v>11227.0</v>
      </c>
      <c r="E35" s="58">
        <v>10380.0</v>
      </c>
      <c r="G35" s="27"/>
      <c r="H35" s="27">
        <f t="shared" ref="H35:J35" si="35">C35/C48</f>
        <v>0.08104430592</v>
      </c>
      <c r="I35" s="27">
        <f t="shared" si="35"/>
        <v>0.0781313068</v>
      </c>
      <c r="J35" s="27">
        <f t="shared" si="35"/>
        <v>0.07709103872</v>
      </c>
      <c r="K35" s="59"/>
      <c r="L35" s="59"/>
      <c r="M35" s="28">
        <f t="shared" ref="M35:M39" si="37">C35-D35</f>
        <v>864</v>
      </c>
      <c r="N35" s="27">
        <f t="shared" ref="N35:N39" si="38">(C35-D35)/D35</f>
        <v>0.076957335</v>
      </c>
      <c r="O35" s="24"/>
      <c r="P35" s="28">
        <f t="shared" ref="P35:P39" si="39">D35-E35</f>
        <v>847</v>
      </c>
      <c r="Q35" s="27">
        <f t="shared" ref="Q35:Q39" si="40">(D35-E35)/E35</f>
        <v>0.08159922929</v>
      </c>
    </row>
    <row r="36" ht="15.75" customHeight="1">
      <c r="A36" s="55"/>
      <c r="B36" s="56" t="s">
        <v>55</v>
      </c>
      <c r="C36" s="57">
        <v>14860.0</v>
      </c>
      <c r="D36" s="57">
        <v>13810.0</v>
      </c>
      <c r="E36" s="58">
        <v>12776.0</v>
      </c>
      <c r="G36" s="27"/>
      <c r="H36" s="27">
        <f t="shared" ref="H36:J36" si="36">C36/C48</f>
        <v>0.09960453113</v>
      </c>
      <c r="I36" s="27">
        <f t="shared" si="36"/>
        <v>0.09610700516</v>
      </c>
      <c r="J36" s="27">
        <f t="shared" si="36"/>
        <v>0.09488584882</v>
      </c>
      <c r="K36" s="59"/>
      <c r="L36" s="59"/>
      <c r="M36" s="28">
        <f t="shared" si="37"/>
        <v>1050</v>
      </c>
      <c r="N36" s="27">
        <f t="shared" si="38"/>
        <v>0.07603186097</v>
      </c>
      <c r="O36" s="24"/>
      <c r="P36" s="28">
        <f t="shared" si="39"/>
        <v>1034</v>
      </c>
      <c r="Q36" s="27">
        <f t="shared" si="40"/>
        <v>0.08093299937</v>
      </c>
    </row>
    <row r="37" ht="15.75" customHeight="1">
      <c r="A37" s="55"/>
      <c r="B37" s="56" t="s">
        <v>56</v>
      </c>
      <c r="C37" s="57">
        <f>3856+7344</f>
        <v>11200</v>
      </c>
      <c r="D37" s="57">
        <f>3880+7012</f>
        <v>10892</v>
      </c>
      <c r="E37" s="58">
        <f>3902+6952</f>
        <v>10854</v>
      </c>
      <c r="G37" s="27"/>
      <c r="H37" s="27">
        <f t="shared" ref="H37:J37" si="41">C37/C48</f>
        <v>0.07507205577</v>
      </c>
      <c r="I37" s="27">
        <f t="shared" si="41"/>
        <v>0.07579996381</v>
      </c>
      <c r="J37" s="27">
        <f t="shared" si="41"/>
        <v>0.08061138095</v>
      </c>
      <c r="K37" s="59"/>
      <c r="L37" s="59"/>
      <c r="M37" s="28">
        <f t="shared" si="37"/>
        <v>308</v>
      </c>
      <c r="N37" s="27">
        <f t="shared" si="38"/>
        <v>0.02827763496</v>
      </c>
      <c r="O37" s="24"/>
      <c r="P37" s="28">
        <f t="shared" si="39"/>
        <v>38</v>
      </c>
      <c r="Q37" s="27">
        <f t="shared" si="40"/>
        <v>0.003501013451</v>
      </c>
    </row>
    <row r="38" ht="15.75" customHeight="1">
      <c r="A38" s="55"/>
      <c r="B38" s="56" t="s">
        <v>57</v>
      </c>
      <c r="C38" s="60">
        <v>8056.0</v>
      </c>
      <c r="D38" s="60">
        <v>11919.0</v>
      </c>
      <c r="E38" s="61">
        <v>12489.0</v>
      </c>
      <c r="G38" s="27"/>
      <c r="H38" s="27">
        <f t="shared" ref="H38:J38" si="42">C38/C48</f>
        <v>0.05399825726</v>
      </c>
      <c r="I38" s="27">
        <f t="shared" si="42"/>
        <v>0.08294709591</v>
      </c>
      <c r="J38" s="27">
        <f t="shared" si="42"/>
        <v>0.09275433359</v>
      </c>
      <c r="K38" s="59"/>
      <c r="L38" s="59"/>
      <c r="M38" s="28">
        <f t="shared" si="37"/>
        <v>-3863</v>
      </c>
      <c r="N38" s="27">
        <f t="shared" si="38"/>
        <v>-0.3241043712</v>
      </c>
      <c r="O38" s="24"/>
      <c r="P38" s="28">
        <f t="shared" si="39"/>
        <v>-570</v>
      </c>
      <c r="Q38" s="27">
        <f t="shared" si="40"/>
        <v>-0.04564016334</v>
      </c>
    </row>
    <row r="39" ht="15.75" customHeight="1">
      <c r="A39" s="55"/>
      <c r="B39" s="62" t="s">
        <v>58</v>
      </c>
      <c r="C39" s="63">
        <f t="shared" ref="C39:E39" si="43">SUM(C35:C38)</f>
        <v>46207</v>
      </c>
      <c r="D39" s="63">
        <f t="shared" si="43"/>
        <v>47848</v>
      </c>
      <c r="E39" s="64">
        <f t="shared" si="43"/>
        <v>46499</v>
      </c>
      <c r="G39" s="23"/>
      <c r="H39" s="23">
        <f t="shared" ref="H39:J39" si="44">C39/C48</f>
        <v>0.3097191501</v>
      </c>
      <c r="I39" s="23">
        <f t="shared" si="44"/>
        <v>0.3329853717</v>
      </c>
      <c r="J39" s="23">
        <f t="shared" si="44"/>
        <v>0.3453426021</v>
      </c>
      <c r="K39" s="59"/>
      <c r="L39" s="59"/>
      <c r="M39" s="22">
        <f t="shared" si="37"/>
        <v>-1641</v>
      </c>
      <c r="N39" s="23">
        <f t="shared" si="38"/>
        <v>-0.03429610433</v>
      </c>
      <c r="O39" s="24"/>
      <c r="P39" s="22">
        <f t="shared" si="39"/>
        <v>1349</v>
      </c>
      <c r="Q39" s="23">
        <f t="shared" si="40"/>
        <v>0.02901137659</v>
      </c>
    </row>
    <row r="40" ht="15.75" customHeight="1">
      <c r="A40" s="55"/>
      <c r="B40" s="56"/>
      <c r="C40" s="57"/>
      <c r="D40" s="57"/>
      <c r="E40" s="58"/>
      <c r="G40" s="59"/>
      <c r="H40" s="59"/>
      <c r="I40" s="59"/>
      <c r="J40" s="59"/>
      <c r="K40" s="59"/>
      <c r="L40" s="59"/>
      <c r="M40" s="24"/>
      <c r="N40" s="30"/>
      <c r="O40" s="24"/>
      <c r="P40" s="24"/>
      <c r="Q40" s="30"/>
    </row>
    <row r="41" ht="15.75" customHeight="1">
      <c r="A41" s="55" t="s">
        <v>59</v>
      </c>
      <c r="B41" s="56"/>
      <c r="C41" s="57"/>
      <c r="D41" s="57"/>
      <c r="E41" s="58"/>
      <c r="G41" s="59"/>
      <c r="H41" s="59"/>
      <c r="I41" s="59"/>
      <c r="J41" s="59"/>
      <c r="K41" s="59"/>
      <c r="L41" s="59"/>
      <c r="M41" s="24"/>
      <c r="N41" s="30"/>
      <c r="O41" s="24"/>
      <c r="P41" s="24"/>
      <c r="Q41" s="30"/>
    </row>
    <row r="42" ht="15.75" customHeight="1">
      <c r="A42" s="55"/>
      <c r="B42" s="56" t="s">
        <v>60</v>
      </c>
      <c r="C42" s="57">
        <v>10851.0</v>
      </c>
      <c r="D42" s="57">
        <v>10680.0</v>
      </c>
      <c r="E42" s="58">
        <v>9359.0</v>
      </c>
      <c r="G42" s="27"/>
      <c r="H42" s="27">
        <f t="shared" ref="H42:J42" si="45">C42/C48</f>
        <v>0.07273275689</v>
      </c>
      <c r="I42" s="27">
        <f t="shared" si="45"/>
        <v>0.07432460646</v>
      </c>
      <c r="J42" s="27">
        <f t="shared" si="45"/>
        <v>0.06950819185</v>
      </c>
      <c r="K42" s="59"/>
      <c r="L42" s="59"/>
      <c r="M42" s="28">
        <f t="shared" ref="M42:M46" si="47">C42-D42</f>
        <v>171</v>
      </c>
      <c r="N42" s="27">
        <f t="shared" ref="N42:N46" si="48">(C42-D42)/D42</f>
        <v>0.01601123596</v>
      </c>
      <c r="O42" s="24"/>
      <c r="P42" s="28">
        <f t="shared" ref="P42:P46" si="49">D42-E42</f>
        <v>1321</v>
      </c>
      <c r="Q42" s="27">
        <f t="shared" ref="Q42:Q46" si="50">(D42-E42)/E42</f>
        <v>0.1411475585</v>
      </c>
    </row>
    <row r="43" ht="15.75" customHeight="1">
      <c r="A43" s="55"/>
      <c r="B43" s="56" t="s">
        <v>61</v>
      </c>
      <c r="C43" s="57">
        <v>2972.0</v>
      </c>
      <c r="D43" s="57">
        <v>2728.0</v>
      </c>
      <c r="E43" s="58">
        <v>2632.0</v>
      </c>
      <c r="G43" s="27"/>
      <c r="H43" s="27">
        <f t="shared" ref="H43:J43" si="46">C43/C48</f>
        <v>0.01992090623</v>
      </c>
      <c r="I43" s="27">
        <f t="shared" si="46"/>
        <v>0.01898478712</v>
      </c>
      <c r="J43" s="27">
        <f t="shared" si="46"/>
        <v>0.01954755433</v>
      </c>
      <c r="K43" s="59"/>
      <c r="L43" s="59"/>
      <c r="M43" s="28">
        <f t="shared" si="47"/>
        <v>244</v>
      </c>
      <c r="N43" s="27">
        <f t="shared" si="48"/>
        <v>0.08944281525</v>
      </c>
      <c r="O43" s="24"/>
      <c r="P43" s="28">
        <f t="shared" si="49"/>
        <v>96</v>
      </c>
      <c r="Q43" s="27">
        <f t="shared" si="50"/>
        <v>0.03647416413</v>
      </c>
    </row>
    <row r="44" ht="15.75" customHeight="1">
      <c r="A44" s="55"/>
      <c r="B44" s="56" t="s">
        <v>62</v>
      </c>
      <c r="C44" s="57">
        <v>8630.0</v>
      </c>
      <c r="D44" s="57">
        <v>9049.0</v>
      </c>
      <c r="E44" s="58">
        <v>8788.0</v>
      </c>
      <c r="G44" s="27"/>
      <c r="H44" s="27">
        <f t="shared" ref="H44:J44" si="51">C44/C48</f>
        <v>0.05784570011</v>
      </c>
      <c r="I44" s="27">
        <f t="shared" si="51"/>
        <v>0.06297409774</v>
      </c>
      <c r="J44" s="27">
        <f t="shared" si="51"/>
        <v>0.06526744203</v>
      </c>
      <c r="K44" s="59"/>
      <c r="L44" s="59"/>
      <c r="M44" s="28">
        <f t="shared" si="47"/>
        <v>-419</v>
      </c>
      <c r="N44" s="27">
        <f t="shared" si="48"/>
        <v>-0.04630345895</v>
      </c>
      <c r="O44" s="24"/>
      <c r="P44" s="28">
        <f t="shared" si="49"/>
        <v>261</v>
      </c>
      <c r="Q44" s="27">
        <f t="shared" si="50"/>
        <v>0.02969959035</v>
      </c>
    </row>
    <row r="45" ht="15.75" customHeight="1">
      <c r="A45" s="55"/>
      <c r="B45" s="56" t="s">
        <v>63</v>
      </c>
      <c r="C45" s="60">
        <f>1231+10012</f>
        <v>11243</v>
      </c>
      <c r="D45" s="60">
        <f>1148+9540</f>
        <v>10688</v>
      </c>
      <c r="E45" s="61">
        <f>1211+9553</f>
        <v>10764</v>
      </c>
      <c r="G45" s="27"/>
      <c r="H45" s="27">
        <f t="shared" ref="H45:J45" si="52">C45/C48</f>
        <v>0.07536027884</v>
      </c>
      <c r="I45" s="27">
        <f t="shared" si="52"/>
        <v>0.07438028032</v>
      </c>
      <c r="J45" s="27">
        <f t="shared" si="52"/>
        <v>0.07994296154</v>
      </c>
      <c r="K45" s="59"/>
      <c r="L45" s="59"/>
      <c r="M45" s="28">
        <f t="shared" si="47"/>
        <v>555</v>
      </c>
      <c r="N45" s="27">
        <f t="shared" si="48"/>
        <v>0.05192739521</v>
      </c>
      <c r="O45" s="24"/>
      <c r="P45" s="28">
        <f t="shared" si="49"/>
        <v>-76</v>
      </c>
      <c r="Q45" s="27">
        <f t="shared" si="50"/>
        <v>-0.007060572278</v>
      </c>
    </row>
    <row r="46" ht="15.75" customHeight="1">
      <c r="A46" s="55"/>
      <c r="B46" s="62" t="s">
        <v>64</v>
      </c>
      <c r="C46" s="63">
        <f t="shared" ref="C46:E46" si="53">SUM(C42:C45)</f>
        <v>33696</v>
      </c>
      <c r="D46" s="63">
        <f t="shared" si="53"/>
        <v>33145</v>
      </c>
      <c r="E46" s="64">
        <f t="shared" si="53"/>
        <v>31543</v>
      </c>
      <c r="G46" s="23"/>
      <c r="H46" s="23">
        <f t="shared" ref="H46:J46" si="54">C46/C48</f>
        <v>0.2258596421</v>
      </c>
      <c r="I46" s="23">
        <f t="shared" si="54"/>
        <v>0.2306637716</v>
      </c>
      <c r="J46" s="23">
        <f t="shared" si="54"/>
        <v>0.2342661498</v>
      </c>
      <c r="K46" s="47"/>
      <c r="L46" s="24"/>
      <c r="M46" s="22">
        <f t="shared" si="47"/>
        <v>551</v>
      </c>
      <c r="N46" s="23">
        <f t="shared" si="48"/>
        <v>0.01662392518</v>
      </c>
      <c r="O46" s="24"/>
      <c r="P46" s="22">
        <f t="shared" si="49"/>
        <v>1602</v>
      </c>
      <c r="Q46" s="23">
        <f t="shared" si="50"/>
        <v>0.05078781346</v>
      </c>
    </row>
    <row r="47" ht="15.75" customHeight="1">
      <c r="A47" s="55"/>
      <c r="B47" s="56"/>
      <c r="C47" s="57"/>
      <c r="D47" s="57"/>
      <c r="E47" s="58"/>
      <c r="G47" s="47"/>
      <c r="H47" s="47"/>
      <c r="I47" s="47"/>
      <c r="J47" s="47"/>
      <c r="K47" s="47"/>
      <c r="L47" s="24"/>
      <c r="M47" s="24"/>
      <c r="N47" s="30"/>
      <c r="O47" s="24"/>
      <c r="P47" s="24"/>
      <c r="Q47" s="30"/>
    </row>
    <row r="48" ht="15.75" customHeight="1">
      <c r="A48" s="65" t="s">
        <v>65</v>
      </c>
      <c r="B48" s="62"/>
      <c r="C48" s="63">
        <f t="shared" ref="C48:E48" si="55">C39+C46+C32</f>
        <v>149190</v>
      </c>
      <c r="D48" s="63">
        <f t="shared" si="55"/>
        <v>143694</v>
      </c>
      <c r="E48" s="64">
        <f t="shared" si="55"/>
        <v>134646</v>
      </c>
      <c r="G48" s="21"/>
      <c r="H48" s="21">
        <v>1.0</v>
      </c>
      <c r="I48" s="21">
        <v>1.0</v>
      </c>
      <c r="J48" s="21">
        <v>1.0</v>
      </c>
      <c r="K48" s="47"/>
      <c r="L48" s="24"/>
      <c r="M48" s="22">
        <f>C48-D48</f>
        <v>5496</v>
      </c>
      <c r="N48" s="23">
        <f>(C48-D48)/D48</f>
        <v>0.03824794355</v>
      </c>
      <c r="O48" s="24"/>
      <c r="P48" s="22">
        <f>D48-E48</f>
        <v>9048</v>
      </c>
      <c r="Q48" s="23">
        <f>(D48-E48)/E48</f>
        <v>0.06719843144</v>
      </c>
    </row>
    <row r="49" ht="15.0" customHeight="1">
      <c r="A49" s="66"/>
      <c r="B49" s="67"/>
      <c r="C49" s="68"/>
      <c r="D49" s="68"/>
      <c r="E49" s="69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40.43"/>
    <col customWidth="1" min="3" max="5" width="11.43"/>
    <col customWidth="1" min="6" max="6" width="1.43"/>
    <col customWidth="1" min="7" max="7" width="8.43"/>
    <col customWidth="1" min="8" max="26" width="11.43"/>
  </cols>
  <sheetData>
    <row r="1" ht="18.0" customHeight="1">
      <c r="A1" s="46" t="s">
        <v>66</v>
      </c>
      <c r="C1" s="45"/>
      <c r="D1" s="45"/>
      <c r="E1" s="45"/>
    </row>
    <row r="2" ht="15.0" customHeight="1">
      <c r="C2" s="45"/>
      <c r="D2" s="45"/>
      <c r="E2" s="45"/>
    </row>
    <row r="3">
      <c r="A3" s="49" t="s">
        <v>3</v>
      </c>
      <c r="B3" s="50"/>
      <c r="C3" s="51">
        <v>2024.0</v>
      </c>
      <c r="D3" s="51">
        <v>2023.0</v>
      </c>
      <c r="E3" s="52">
        <v>2022.0</v>
      </c>
      <c r="G3" s="70" t="s">
        <v>67</v>
      </c>
    </row>
    <row r="4">
      <c r="A4" s="65"/>
      <c r="B4" s="62"/>
      <c r="C4" s="63"/>
      <c r="D4" s="63"/>
      <c r="E4" s="64"/>
    </row>
    <row r="5">
      <c r="A5" s="65" t="s">
        <v>68</v>
      </c>
      <c r="B5" s="62"/>
      <c r="C5" s="63">
        <v>7520.0</v>
      </c>
      <c r="D5" s="63">
        <v>7100.0</v>
      </c>
      <c r="E5" s="64">
        <v>7817.0</v>
      </c>
    </row>
    <row r="6">
      <c r="A6" s="55"/>
      <c r="B6" s="56"/>
      <c r="C6" s="57"/>
      <c r="D6" s="57"/>
      <c r="E6" s="58"/>
    </row>
    <row r="7">
      <c r="A7" s="71" t="s">
        <v>69</v>
      </c>
      <c r="B7" s="72"/>
      <c r="C7" s="73"/>
      <c r="D7" s="73"/>
      <c r="E7" s="73"/>
    </row>
    <row r="8">
      <c r="A8" s="74"/>
      <c r="B8" s="56" t="s">
        <v>70</v>
      </c>
      <c r="C8" s="57">
        <v>18907.0</v>
      </c>
      <c r="D8" s="57">
        <v>22560.0</v>
      </c>
      <c r="E8" s="57">
        <v>21001.0</v>
      </c>
      <c r="G8" s="70">
        <f t="shared" ref="G8:G14" si="1">SUM(C8:E8)</f>
        <v>62468</v>
      </c>
    </row>
    <row r="9">
      <c r="A9" s="74"/>
      <c r="B9" s="56" t="s">
        <v>71</v>
      </c>
      <c r="C9" s="57">
        <f>4568+3228</f>
        <v>7796</v>
      </c>
      <c r="D9" s="57">
        <f>4146+3031</f>
        <v>7177</v>
      </c>
      <c r="E9" s="57">
        <f>3219+3007</f>
        <v>6226</v>
      </c>
      <c r="G9" s="70">
        <f t="shared" si="1"/>
        <v>21199</v>
      </c>
    </row>
    <row r="10">
      <c r="A10" s="74"/>
      <c r="B10" s="56" t="s">
        <v>72</v>
      </c>
      <c r="C10" s="57">
        <f>-357-483</f>
        <v>-840</v>
      </c>
      <c r="D10" s="57">
        <f>-457-356</f>
        <v>-813</v>
      </c>
      <c r="E10" s="57">
        <f>-74-240</f>
        <v>-314</v>
      </c>
      <c r="G10" s="70">
        <f t="shared" si="1"/>
        <v>-1967</v>
      </c>
    </row>
    <row r="11">
      <c r="A11" s="74"/>
      <c r="B11" s="56" t="s">
        <v>73</v>
      </c>
      <c r="C11" s="57">
        <v>-5531.0</v>
      </c>
      <c r="D11" s="57">
        <v>-5730.0</v>
      </c>
      <c r="E11" s="57">
        <v>-5604.0</v>
      </c>
      <c r="G11" s="70">
        <f t="shared" si="1"/>
        <v>-16865</v>
      </c>
    </row>
    <row r="12">
      <c r="A12" s="74"/>
      <c r="B12" s="56" t="s">
        <v>74</v>
      </c>
      <c r="C12" s="57">
        <f>29+488</f>
        <v>517</v>
      </c>
      <c r="D12" s="57">
        <f>42-259</f>
        <v>-217</v>
      </c>
      <c r="E12" s="57">
        <f>26-483</f>
        <v>-457</v>
      </c>
      <c r="G12" s="70">
        <f t="shared" si="1"/>
        <v>-157</v>
      </c>
    </row>
    <row r="13">
      <c r="A13" s="74"/>
      <c r="B13" s="56" t="s">
        <v>75</v>
      </c>
      <c r="C13" s="60">
        <v>-1925.0</v>
      </c>
      <c r="D13" s="60">
        <v>-4577.0</v>
      </c>
      <c r="E13" s="60">
        <v>-3019.0</v>
      </c>
      <c r="G13" s="75">
        <f t="shared" si="1"/>
        <v>-9521</v>
      </c>
    </row>
    <row r="14">
      <c r="A14" s="76"/>
      <c r="B14" s="77" t="s">
        <v>76</v>
      </c>
      <c r="C14" s="78">
        <f t="shared" ref="C14:E14" si="2">SUM(C8:C13)</f>
        <v>18924</v>
      </c>
      <c r="D14" s="78">
        <f t="shared" si="2"/>
        <v>18400</v>
      </c>
      <c r="E14" s="78">
        <f t="shared" si="2"/>
        <v>17833</v>
      </c>
      <c r="G14" s="13">
        <f t="shared" si="1"/>
        <v>55157</v>
      </c>
    </row>
    <row r="15">
      <c r="B15" s="77"/>
      <c r="C15" s="78"/>
      <c r="D15" s="78"/>
      <c r="E15" s="79"/>
    </row>
    <row r="16">
      <c r="A16" s="71" t="s">
        <v>77</v>
      </c>
      <c r="B16" s="80"/>
      <c r="C16" s="81"/>
      <c r="D16" s="81"/>
      <c r="E16" s="81"/>
    </row>
    <row r="17">
      <c r="A17" s="55"/>
      <c r="B17" s="56" t="s">
        <v>78</v>
      </c>
      <c r="C17" s="57">
        <v>-5531.0</v>
      </c>
      <c r="D17" s="57">
        <v>-7478.0</v>
      </c>
      <c r="E17" s="58">
        <v>-4969.0</v>
      </c>
      <c r="G17" s="70">
        <f t="shared" ref="G17:G20" si="3">SUM(C17:E17)</f>
        <v>-17978</v>
      </c>
    </row>
    <row r="18">
      <c r="A18" s="55"/>
      <c r="B18" s="56" t="s">
        <v>79</v>
      </c>
      <c r="C18" s="57">
        <v>-438.0</v>
      </c>
      <c r="D18" s="57">
        <v>-721.0</v>
      </c>
      <c r="E18" s="58">
        <v>-809.0</v>
      </c>
      <c r="G18" s="70">
        <f t="shared" si="3"/>
        <v>-1968</v>
      </c>
    </row>
    <row r="19">
      <c r="A19" s="55"/>
      <c r="B19" s="56" t="s">
        <v>80</v>
      </c>
      <c r="C19" s="60">
        <f>9-579</f>
        <v>-570</v>
      </c>
      <c r="D19" s="60">
        <f>5-116</f>
        <v>-111</v>
      </c>
      <c r="E19" s="61">
        <f>7-149</f>
        <v>-142</v>
      </c>
      <c r="G19" s="75">
        <f t="shared" si="3"/>
        <v>-823</v>
      </c>
    </row>
    <row r="20">
      <c r="A20" s="82"/>
      <c r="B20" s="77" t="s">
        <v>81</v>
      </c>
      <c r="C20" s="78">
        <f t="shared" ref="C20:E20" si="4">SUM(C17:C19)</f>
        <v>-6539</v>
      </c>
      <c r="D20" s="78">
        <f t="shared" si="4"/>
        <v>-8310</v>
      </c>
      <c r="E20" s="83">
        <f t="shared" si="4"/>
        <v>-5920</v>
      </c>
      <c r="G20" s="13">
        <f t="shared" si="3"/>
        <v>-20769</v>
      </c>
    </row>
    <row r="21" ht="15.75" customHeight="1">
      <c r="A21" s="55"/>
      <c r="B21" s="62"/>
      <c r="C21" s="63"/>
      <c r="D21" s="63"/>
      <c r="E21" s="64"/>
    </row>
    <row r="22" ht="15.75" customHeight="1">
      <c r="A22" s="71" t="s">
        <v>82</v>
      </c>
      <c r="B22" s="80"/>
      <c r="C22" s="81"/>
      <c r="D22" s="81"/>
      <c r="E22" s="81"/>
    </row>
    <row r="23" ht="15.75" customHeight="1">
      <c r="A23" s="55"/>
      <c r="B23" s="56"/>
      <c r="C23" s="57"/>
      <c r="D23" s="57"/>
      <c r="E23" s="58"/>
    </row>
    <row r="24" ht="15.75" customHeight="1">
      <c r="A24" s="55"/>
      <c r="B24" s="56" t="s">
        <v>83</v>
      </c>
      <c r="C24" s="57">
        <v>-7322.0</v>
      </c>
      <c r="D24" s="57">
        <v>-7159.0</v>
      </c>
      <c r="E24" s="58">
        <v>-6774.0</v>
      </c>
      <c r="G24" s="70">
        <f t="shared" ref="G24:G28" si="5">SUM(C24:E24)</f>
        <v>-21255</v>
      </c>
    </row>
    <row r="25" ht="15.75" customHeight="1">
      <c r="A25" s="55"/>
      <c r="B25" s="56" t="s">
        <v>84</v>
      </c>
      <c r="C25" s="57">
        <f>3595-3676</f>
        <v>-81</v>
      </c>
      <c r="D25" s="57">
        <f>5990-3968</f>
        <v>2022</v>
      </c>
      <c r="E25" s="58">
        <f>3774-3891</f>
        <v>-117</v>
      </c>
      <c r="G25" s="70">
        <f t="shared" si="5"/>
        <v>1824</v>
      </c>
    </row>
    <row r="26" ht="15.75" customHeight="1">
      <c r="A26" s="55"/>
      <c r="B26" s="56" t="s">
        <v>85</v>
      </c>
      <c r="C26" s="57">
        <v>-2915.0</v>
      </c>
      <c r="D26" s="57">
        <v>-2818.0</v>
      </c>
      <c r="E26" s="58">
        <v>-2751.0</v>
      </c>
      <c r="G26" s="70">
        <f t="shared" si="5"/>
        <v>-8484</v>
      </c>
    </row>
    <row r="27" ht="15.75" customHeight="1">
      <c r="A27" s="55"/>
      <c r="B27" s="56" t="s">
        <v>80</v>
      </c>
      <c r="C27" s="60">
        <f>-173-224-1</f>
        <v>-398</v>
      </c>
      <c r="D27" s="60">
        <f>-17-1569+144</f>
        <v>-1442</v>
      </c>
      <c r="E27" s="61">
        <f>-351-1604-1088</f>
        <v>-3043</v>
      </c>
      <c r="G27" s="75">
        <f t="shared" si="5"/>
        <v>-4883</v>
      </c>
    </row>
    <row r="28" ht="15.75" customHeight="1">
      <c r="A28" s="82"/>
      <c r="B28" s="77" t="s">
        <v>86</v>
      </c>
      <c r="C28" s="78">
        <f t="shared" ref="C28:E28" si="6">SUM(C24:C27)</f>
        <v>-10716</v>
      </c>
      <c r="D28" s="78">
        <f t="shared" si="6"/>
        <v>-9397</v>
      </c>
      <c r="E28" s="83">
        <f t="shared" si="6"/>
        <v>-12685</v>
      </c>
      <c r="G28" s="13">
        <f t="shared" si="5"/>
        <v>-32798</v>
      </c>
    </row>
    <row r="29" ht="15.75" customHeight="1">
      <c r="A29" s="55"/>
      <c r="B29" s="62"/>
      <c r="C29" s="63"/>
      <c r="D29" s="63"/>
      <c r="E29" s="64"/>
    </row>
    <row r="30" ht="15.75" customHeight="1">
      <c r="A30" s="55"/>
      <c r="B30" s="56" t="s">
        <v>87</v>
      </c>
      <c r="C30" s="57">
        <v>80.0</v>
      </c>
      <c r="D30" s="57">
        <v>-273.0</v>
      </c>
      <c r="E30" s="58">
        <v>55.0</v>
      </c>
      <c r="G30" s="70">
        <f>SUM(C30:E30)</f>
        <v>-138</v>
      </c>
    </row>
    <row r="31" ht="15.75" customHeight="1">
      <c r="A31" s="55"/>
      <c r="B31" s="56"/>
      <c r="C31" s="57"/>
      <c r="D31" s="57"/>
      <c r="E31" s="58"/>
      <c r="G31" s="13"/>
    </row>
    <row r="32" ht="15.75" customHeight="1">
      <c r="A32" s="84" t="s">
        <v>88</v>
      </c>
      <c r="B32" s="80"/>
      <c r="C32" s="81">
        <f t="shared" ref="C32:E32" si="7">C14+C20+C28+C30</f>
        <v>1749</v>
      </c>
      <c r="D32" s="81">
        <f t="shared" si="7"/>
        <v>420</v>
      </c>
      <c r="E32" s="85">
        <f t="shared" si="7"/>
        <v>-717</v>
      </c>
    </row>
    <row r="33" ht="15.75" customHeight="1">
      <c r="A33" s="55"/>
      <c r="B33" s="62"/>
      <c r="C33" s="57"/>
      <c r="D33" s="57"/>
      <c r="E33" s="58"/>
    </row>
    <row r="34" ht="15.75" customHeight="1">
      <c r="A34" s="65" t="s">
        <v>89</v>
      </c>
      <c r="B34" s="62"/>
      <c r="C34" s="63">
        <f t="shared" ref="C34:E34" si="8">C5+C32</f>
        <v>9269</v>
      </c>
      <c r="D34" s="63">
        <f t="shared" si="8"/>
        <v>7520</v>
      </c>
      <c r="E34" s="64">
        <f t="shared" si="8"/>
        <v>7100</v>
      </c>
    </row>
    <row r="35" ht="15.0" customHeight="1">
      <c r="A35" s="66"/>
      <c r="B35" s="67"/>
      <c r="C35" s="68"/>
      <c r="D35" s="68"/>
      <c r="E35" s="69"/>
    </row>
    <row r="36" ht="15.75" customHeight="1"/>
    <row r="37" ht="15.75" customHeight="1"/>
    <row r="38" ht="15.75" customHeight="1">
      <c r="C38" s="45"/>
      <c r="D38" s="45"/>
      <c r="E38" s="45"/>
    </row>
    <row r="39" ht="15.75" customHeight="1">
      <c r="C39" s="86"/>
      <c r="D39" s="86"/>
      <c r="E39" s="86"/>
    </row>
    <row r="40" ht="15.75" customHeight="1">
      <c r="C40" s="45"/>
      <c r="D40" s="45"/>
      <c r="E40" s="4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41.0"/>
    <col customWidth="1" min="3" max="5" width="11.43"/>
    <col customWidth="1" min="6" max="6" width="3.29"/>
    <col customWidth="1" min="7" max="7" width="47.86"/>
    <col customWidth="1" min="8" max="26" width="11.43"/>
  </cols>
  <sheetData>
    <row r="1" ht="18.0" customHeight="1">
      <c r="A1" s="46" t="s">
        <v>90</v>
      </c>
      <c r="B1" s="46"/>
      <c r="C1" s="46"/>
      <c r="D1" s="46"/>
      <c r="E1" s="46"/>
      <c r="F1" s="46"/>
      <c r="G1" s="46"/>
      <c r="H1" s="46"/>
      <c r="I1" s="46"/>
      <c r="J1" s="46"/>
    </row>
    <row r="2" ht="15.0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8.0" customHeight="1">
      <c r="A3" s="87" t="s">
        <v>91</v>
      </c>
      <c r="B3" s="88"/>
      <c r="C3" s="88"/>
      <c r="D3" s="88"/>
      <c r="E3" s="89"/>
      <c r="F3" s="90" t="s">
        <v>92</v>
      </c>
      <c r="G3" s="88"/>
      <c r="H3" s="88"/>
      <c r="I3" s="88"/>
      <c r="J3" s="89"/>
    </row>
    <row r="4">
      <c r="A4" s="55"/>
      <c r="C4" s="51">
        <v>2024.0</v>
      </c>
      <c r="D4" s="51">
        <v>2023.0</v>
      </c>
      <c r="E4" s="91">
        <v>2022.0</v>
      </c>
      <c r="F4" s="92"/>
      <c r="H4" s="51">
        <f t="shared" ref="H4:J4" si="1">C4</f>
        <v>2024</v>
      </c>
      <c r="I4" s="51">
        <f t="shared" si="1"/>
        <v>2023</v>
      </c>
      <c r="J4" s="52">
        <f t="shared" si="1"/>
        <v>2022</v>
      </c>
    </row>
    <row r="5">
      <c r="A5" s="55" t="s">
        <v>31</v>
      </c>
      <c r="C5" s="57"/>
      <c r="D5" s="57"/>
      <c r="E5" s="45"/>
      <c r="F5" s="55" t="s">
        <v>45</v>
      </c>
      <c r="H5" s="57"/>
      <c r="I5" s="57"/>
      <c r="J5" s="93"/>
    </row>
    <row r="6">
      <c r="A6" s="65"/>
      <c r="B6" s="70" t="s">
        <v>32</v>
      </c>
      <c r="C6" s="57">
        <f>'Balance sheet'!C6</f>
        <v>26280</v>
      </c>
      <c r="D6" s="57">
        <f>'Balance sheet'!D6</f>
        <v>25589</v>
      </c>
      <c r="E6" s="94">
        <f>'Balance sheet'!E6</f>
        <v>25432</v>
      </c>
      <c r="F6" s="65"/>
      <c r="G6" s="70" t="s">
        <v>46</v>
      </c>
      <c r="H6" s="57">
        <f>'Balance sheet'!C26</f>
        <v>203</v>
      </c>
      <c r="I6" s="57">
        <f>'Balance sheet'!D26</f>
        <v>681</v>
      </c>
      <c r="J6" s="94">
        <f>'Balance sheet'!E26</f>
        <v>1440</v>
      </c>
      <c r="K6" s="55"/>
    </row>
    <row r="7">
      <c r="A7" s="55"/>
      <c r="B7" s="70" t="s">
        <v>33</v>
      </c>
      <c r="C7" s="57">
        <f>'Balance sheet'!C7</f>
        <v>20307</v>
      </c>
      <c r="D7" s="57">
        <f>'Balance sheet'!D7</f>
        <v>24022</v>
      </c>
      <c r="E7" s="94">
        <f>'Balance sheet'!E7</f>
        <v>24782</v>
      </c>
      <c r="F7" s="55"/>
      <c r="G7" s="70" t="s">
        <v>47</v>
      </c>
      <c r="H7" s="57">
        <f>'Balance sheet'!C27</f>
        <v>-603</v>
      </c>
      <c r="I7" s="57">
        <f>'Balance sheet'!D27</f>
        <v>-1953</v>
      </c>
      <c r="J7" s="94">
        <f>'Balance sheet'!E27</f>
        <v>-1293</v>
      </c>
      <c r="K7" s="55"/>
    </row>
    <row r="8">
      <c r="A8" s="55"/>
      <c r="B8" s="70" t="s">
        <v>34</v>
      </c>
      <c r="C8" s="57">
        <f>'Balance sheet'!C8</f>
        <v>29886</v>
      </c>
      <c r="D8" s="57">
        <f>'Balance sheet'!D8</f>
        <v>27331</v>
      </c>
      <c r="E8" s="94">
        <f>'Balance sheet'!E8</f>
        <v>23055</v>
      </c>
      <c r="F8" s="55"/>
      <c r="G8" s="70" t="s">
        <v>48</v>
      </c>
      <c r="H8" s="57">
        <f>'Balance sheet'!C28</f>
        <v>4111</v>
      </c>
      <c r="I8" s="57">
        <f>'Balance sheet'!D28</f>
        <v>2916</v>
      </c>
      <c r="J8" s="94">
        <f>'Balance sheet'!E28</f>
        <v>3872</v>
      </c>
      <c r="K8" s="55"/>
    </row>
    <row r="9">
      <c r="A9" s="55"/>
      <c r="B9" s="70" t="s">
        <v>35</v>
      </c>
      <c r="C9" s="57">
        <f>'Balance sheet'!C9</f>
        <v>16620</v>
      </c>
      <c r="D9" s="57">
        <f>'Balance sheet'!D9</f>
        <v>15679</v>
      </c>
      <c r="E9" s="94">
        <f>'Balance sheet'!E9</f>
        <v>14615</v>
      </c>
      <c r="F9" s="55"/>
      <c r="G9" s="70" t="s">
        <v>49</v>
      </c>
      <c r="H9" s="57">
        <f>'Balance sheet'!C29</f>
        <v>51256</v>
      </c>
      <c r="I9" s="57">
        <f>'Balance sheet'!D29</f>
        <v>44199</v>
      </c>
      <c r="J9" s="94">
        <f>'Balance sheet'!E29</f>
        <v>37008</v>
      </c>
      <c r="K9" s="55"/>
    </row>
    <row r="10">
      <c r="A10" s="55"/>
      <c r="B10" s="70" t="s">
        <v>36</v>
      </c>
      <c r="C10" s="57">
        <f>'Balance sheet'!C10</f>
        <v>8626</v>
      </c>
      <c r="D10" s="57">
        <f>'Balance sheet'!D10</f>
        <v>7363</v>
      </c>
      <c r="E10" s="94">
        <f>'Balance sheet'!E10</f>
        <v>7022</v>
      </c>
      <c r="F10" s="55"/>
      <c r="G10" s="70" t="s">
        <v>50</v>
      </c>
      <c r="H10" s="57">
        <f>'Balance sheet'!C30</f>
        <v>12550</v>
      </c>
      <c r="I10" s="57">
        <f>'Balance sheet'!D30</f>
        <v>15174</v>
      </c>
      <c r="J10" s="94">
        <f>'Balance sheet'!E30</f>
        <v>14084</v>
      </c>
      <c r="K10" s="55"/>
    </row>
    <row r="11">
      <c r="A11" s="55"/>
      <c r="B11" s="13" t="s">
        <v>37</v>
      </c>
      <c r="C11" s="63">
        <f t="shared" ref="C11:E11" si="2">SUM(C6:C10)</f>
        <v>101719</v>
      </c>
      <c r="D11" s="63">
        <f t="shared" si="2"/>
        <v>99984</v>
      </c>
      <c r="E11" s="95">
        <f t="shared" si="2"/>
        <v>94906</v>
      </c>
      <c r="F11" s="55"/>
      <c r="G11" s="56" t="s">
        <v>51</v>
      </c>
      <c r="H11" s="57">
        <f>'Balance sheet'!C31</f>
        <v>1770</v>
      </c>
      <c r="I11" s="57">
        <f>'Balance sheet'!D31</f>
        <v>1684</v>
      </c>
      <c r="J11" s="94">
        <f>'Balance sheet'!E31</f>
        <v>1493</v>
      </c>
      <c r="K11" s="55"/>
    </row>
    <row r="12">
      <c r="A12" s="55"/>
      <c r="B12" s="13"/>
      <c r="C12" s="63"/>
      <c r="D12" s="63"/>
      <c r="E12" s="96"/>
      <c r="F12" s="55"/>
      <c r="G12" s="62" t="s">
        <v>52</v>
      </c>
      <c r="H12" s="63">
        <f t="shared" ref="H12:J12" si="3">SUM(H6:H11)</f>
        <v>69287</v>
      </c>
      <c r="I12" s="63">
        <f t="shared" si="3"/>
        <v>62701</v>
      </c>
      <c r="J12" s="95">
        <f t="shared" si="3"/>
        <v>56604</v>
      </c>
      <c r="K12" s="55"/>
    </row>
    <row r="13">
      <c r="A13" s="55" t="s">
        <v>93</v>
      </c>
      <c r="B13" s="13"/>
      <c r="C13" s="63"/>
      <c r="D13" s="63"/>
      <c r="E13" s="96"/>
      <c r="F13" s="55"/>
      <c r="G13" s="13"/>
      <c r="H13" s="63"/>
      <c r="I13" s="63"/>
      <c r="J13" s="97"/>
    </row>
    <row r="14">
      <c r="A14" s="65"/>
      <c r="B14" s="70" t="s">
        <v>39</v>
      </c>
      <c r="C14" s="57">
        <f>'Balance sheet'!C14</f>
        <v>23669</v>
      </c>
      <c r="D14" s="57">
        <f>'Balance sheet'!D14</f>
        <v>22952</v>
      </c>
      <c r="E14" s="94">
        <f>'Balance sheet'!E14</f>
        <v>20319</v>
      </c>
      <c r="F14" s="98" t="s">
        <v>94</v>
      </c>
      <c r="H14" s="57"/>
      <c r="I14" s="57"/>
      <c r="J14" s="45"/>
      <c r="K14" s="55"/>
    </row>
    <row r="15">
      <c r="A15" s="55"/>
      <c r="B15" s="70" t="s">
        <v>40</v>
      </c>
      <c r="C15" s="57">
        <f>'Balance sheet'!C15</f>
        <v>4730</v>
      </c>
      <c r="D15" s="57">
        <f>'Balance sheet'!D15</f>
        <v>4728</v>
      </c>
      <c r="E15" s="94">
        <f>'Balance sheet'!E15</f>
        <v>4258</v>
      </c>
      <c r="F15" s="55"/>
      <c r="G15" s="70" t="s">
        <v>54</v>
      </c>
      <c r="H15" s="57">
        <f>'Balance sheet'!C35</f>
        <v>12091</v>
      </c>
      <c r="I15" s="57">
        <f>'Balance sheet'!D35</f>
        <v>11227</v>
      </c>
      <c r="J15" s="94">
        <f>'Balance sheet'!E35</f>
        <v>10380</v>
      </c>
      <c r="K15" s="55"/>
    </row>
    <row r="16">
      <c r="A16" s="55"/>
      <c r="B16" s="70" t="s">
        <v>41</v>
      </c>
      <c r="C16" s="57">
        <f>'Balance sheet'!C16</f>
        <v>9441</v>
      </c>
      <c r="D16" s="57">
        <f>'Balance sheet'!D16</f>
        <v>8256</v>
      </c>
      <c r="E16" s="94">
        <f>'Balance sheet'!E16</f>
        <v>7863</v>
      </c>
      <c r="F16" s="55"/>
      <c r="G16" s="70" t="s">
        <v>55</v>
      </c>
      <c r="H16" s="57">
        <f>'Balance sheet'!C36</f>
        <v>14860</v>
      </c>
      <c r="I16" s="57">
        <f>'Balance sheet'!D36</f>
        <v>13810</v>
      </c>
      <c r="J16" s="94">
        <f>'Balance sheet'!E36</f>
        <v>12776</v>
      </c>
      <c r="K16" s="55"/>
    </row>
    <row r="17">
      <c r="A17" s="55"/>
      <c r="B17" s="70" t="s">
        <v>62</v>
      </c>
      <c r="C17" s="57">
        <f>-'Balance sheet'!C44</f>
        <v>-8630</v>
      </c>
      <c r="D17" s="57">
        <f>-'Balance sheet'!D44</f>
        <v>-9049</v>
      </c>
      <c r="E17" s="94">
        <f>-'Balance sheet'!E44</f>
        <v>-8788</v>
      </c>
      <c r="F17" s="55"/>
      <c r="G17" s="99" t="s">
        <v>61</v>
      </c>
      <c r="H17" s="100">
        <f>'Balance sheet'!C43</f>
        <v>2972</v>
      </c>
      <c r="I17" s="101">
        <f>'Balance sheet'!D43</f>
        <v>2728</v>
      </c>
      <c r="J17" s="102">
        <f>'Balance sheet'!E43</f>
        <v>2632</v>
      </c>
      <c r="K17" s="55"/>
    </row>
    <row r="18">
      <c r="A18" s="55"/>
      <c r="B18" s="70" t="s">
        <v>63</v>
      </c>
      <c r="C18" s="57">
        <f>-'Balance sheet'!C45</f>
        <v>-11243</v>
      </c>
      <c r="D18" s="57">
        <f>-'Balance sheet'!D45</f>
        <v>-10688</v>
      </c>
      <c r="E18" s="94">
        <f>-'Balance sheet'!E45</f>
        <v>-10764</v>
      </c>
      <c r="F18" s="55"/>
      <c r="G18" s="70" t="s">
        <v>56</v>
      </c>
      <c r="H18" s="57">
        <f>'Balance sheet'!C37</f>
        <v>11200</v>
      </c>
      <c r="I18" s="57">
        <f>'Balance sheet'!D37</f>
        <v>10892</v>
      </c>
      <c r="J18" s="94">
        <f>'Balance sheet'!E37</f>
        <v>10854</v>
      </c>
      <c r="K18" s="55"/>
    </row>
    <row r="19">
      <c r="A19" s="55"/>
      <c r="B19" s="13" t="s">
        <v>95</v>
      </c>
      <c r="C19" s="63">
        <f t="shared" ref="C19:E19" si="4">SUM(C14:C18)</f>
        <v>17967</v>
      </c>
      <c r="D19" s="63">
        <f t="shared" si="4"/>
        <v>16199</v>
      </c>
      <c r="E19" s="95">
        <f t="shared" si="4"/>
        <v>12888</v>
      </c>
      <c r="F19" s="55"/>
      <c r="G19" s="70" t="s">
        <v>57</v>
      </c>
      <c r="H19" s="57">
        <f>'Balance sheet'!C38</f>
        <v>8056</v>
      </c>
      <c r="I19" s="57">
        <f>'Balance sheet'!D38</f>
        <v>11919</v>
      </c>
      <c r="J19" s="94">
        <f>'Balance sheet'!E38</f>
        <v>12489</v>
      </c>
      <c r="K19" s="55"/>
    </row>
    <row r="20">
      <c r="A20" s="55"/>
      <c r="C20" s="103"/>
      <c r="D20" s="103"/>
      <c r="E20" s="104"/>
      <c r="F20" s="55"/>
      <c r="G20" s="105" t="s">
        <v>96</v>
      </c>
      <c r="H20" s="63">
        <f t="shared" ref="H20:J20" si="5">SUM(H15:H19)</f>
        <v>49179</v>
      </c>
      <c r="I20" s="63">
        <f t="shared" si="5"/>
        <v>50576</v>
      </c>
      <c r="J20" s="63">
        <f t="shared" si="5"/>
        <v>49131</v>
      </c>
      <c r="K20" s="55"/>
    </row>
    <row r="21" ht="15.75" customHeight="1">
      <c r="A21" s="65"/>
      <c r="C21" s="57"/>
      <c r="D21" s="57"/>
      <c r="E21" s="45"/>
      <c r="F21" s="55"/>
      <c r="K21" s="55"/>
    </row>
    <row r="22" ht="15.75" customHeight="1">
      <c r="A22" s="98" t="s">
        <v>97</v>
      </c>
      <c r="C22" s="57">
        <f>'Balance sheet'!C17</f>
        <v>9631</v>
      </c>
      <c r="D22" s="57">
        <f>'Balance sheet'!D17</f>
        <v>7774</v>
      </c>
      <c r="E22" s="94">
        <f>'Balance sheet'!E17</f>
        <v>7300</v>
      </c>
      <c r="F22" s="55" t="s">
        <v>98</v>
      </c>
      <c r="H22" s="57">
        <f>'Balance sheet'!C42</f>
        <v>10851</v>
      </c>
      <c r="I22" s="57">
        <f>'Balance sheet'!D42</f>
        <v>10680</v>
      </c>
      <c r="J22" s="94">
        <f>'Balance sheet'!E42</f>
        <v>9359</v>
      </c>
      <c r="K22" s="55"/>
    </row>
    <row r="23" ht="15.75" customHeight="1">
      <c r="A23" s="55"/>
      <c r="C23" s="57"/>
      <c r="D23" s="57"/>
      <c r="E23" s="45"/>
      <c r="F23" s="55"/>
      <c r="H23" s="57"/>
      <c r="I23" s="57"/>
      <c r="J23" s="45"/>
      <c r="K23" s="55"/>
    </row>
    <row r="24" ht="15.0" customHeight="1">
      <c r="A24" s="106" t="s">
        <v>99</v>
      </c>
      <c r="B24" s="107"/>
      <c r="C24" s="108">
        <f t="shared" ref="C24:E24" si="6">SUM(C22+C19+C11)</f>
        <v>129317</v>
      </c>
      <c r="D24" s="108">
        <f t="shared" si="6"/>
        <v>123957</v>
      </c>
      <c r="E24" s="109">
        <f t="shared" si="6"/>
        <v>115094</v>
      </c>
      <c r="F24" s="106" t="s">
        <v>100</v>
      </c>
      <c r="G24" s="110"/>
      <c r="H24" s="108">
        <f t="shared" ref="H24:J24" si="7">H22+H20+H12</f>
        <v>129317</v>
      </c>
      <c r="I24" s="108">
        <f t="shared" si="7"/>
        <v>123957</v>
      </c>
      <c r="J24" s="109">
        <f t="shared" si="7"/>
        <v>115094</v>
      </c>
      <c r="K24" s="55"/>
    </row>
    <row r="25" ht="15.75" customHeight="1"/>
    <row r="26" ht="15.75" customHeight="1">
      <c r="C26" s="45"/>
      <c r="D26" s="45"/>
      <c r="E26" s="45"/>
      <c r="H26" s="45"/>
      <c r="I26" s="45"/>
      <c r="J26" s="4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E3"/>
    <mergeCell ref="F3:J3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11.0"/>
    <col customWidth="1" min="3" max="3" width="12.43"/>
    <col customWidth="1" min="4" max="4" width="4.43"/>
    <col customWidth="1" min="5" max="6" width="11.43"/>
    <col customWidth="1" min="7" max="7" width="4.43"/>
    <col customWidth="1" min="8" max="9" width="11.43"/>
    <col customWidth="1" min="10" max="10" width="3.86"/>
    <col customWidth="1" min="11" max="26" width="11.43"/>
  </cols>
  <sheetData>
    <row r="1" ht="21.0" customHeight="1">
      <c r="A1" s="111" t="s">
        <v>101</v>
      </c>
      <c r="B1" s="96" t="s">
        <v>102</v>
      </c>
      <c r="E1" s="96" t="s">
        <v>102</v>
      </c>
      <c r="H1" s="96" t="s">
        <v>103</v>
      </c>
      <c r="K1" s="96" t="s">
        <v>104</v>
      </c>
    </row>
    <row r="2" ht="15.0" customHeight="1">
      <c r="B2" s="112" t="s">
        <v>105</v>
      </c>
      <c r="C2" s="113"/>
      <c r="E2" s="112" t="s">
        <v>106</v>
      </c>
      <c r="F2" s="113"/>
      <c r="H2" s="112" t="s">
        <v>106</v>
      </c>
      <c r="I2" s="113"/>
      <c r="K2" s="112" t="s">
        <v>106</v>
      </c>
      <c r="L2" s="113"/>
    </row>
    <row r="3">
      <c r="A3" s="114" t="s">
        <v>107</v>
      </c>
      <c r="B3" s="91">
        <v>2024.0</v>
      </c>
      <c r="C3" s="52">
        <v>2023.0</v>
      </c>
      <c r="E3" s="115">
        <f t="shared" ref="E3:F3" si="1">+B3</f>
        <v>2024</v>
      </c>
      <c r="F3" s="52">
        <f t="shared" si="1"/>
        <v>2023</v>
      </c>
      <c r="H3" s="115">
        <f>$B$3</f>
        <v>2024</v>
      </c>
      <c r="I3" s="52">
        <f>$C$3</f>
        <v>2023</v>
      </c>
      <c r="K3" s="115">
        <f>$B$3</f>
        <v>2024</v>
      </c>
      <c r="L3" s="52">
        <f>$C$3</f>
        <v>2023</v>
      </c>
    </row>
    <row r="4">
      <c r="A4" s="55"/>
      <c r="B4" s="94"/>
      <c r="C4" s="58"/>
      <c r="E4" s="116"/>
      <c r="F4" s="58"/>
      <c r="H4" s="116"/>
      <c r="I4" s="58"/>
      <c r="K4" s="116"/>
      <c r="L4" s="58"/>
    </row>
    <row r="5" ht="15.0" customHeight="1">
      <c r="A5" s="66" t="s">
        <v>108</v>
      </c>
      <c r="B5" s="117">
        <f>('Income statement'!C5/'Income statement'!D5)-1</f>
        <v>-0.01706266758</v>
      </c>
      <c r="C5" s="118">
        <f>('Income statement'!D5/'Income statement'!E5)-1</f>
        <v>0.08801020408</v>
      </c>
      <c r="E5" s="119">
        <f>91615/93173-1</f>
        <v>-0.01672158243</v>
      </c>
      <c r="F5" s="118">
        <f>93173/83421-1</f>
        <v>0.1169010201</v>
      </c>
      <c r="H5" s="119">
        <f>18601/21160-1</f>
        <v>-0.1209357278</v>
      </c>
      <c r="I5" s="118">
        <f>21160/21440-1</f>
        <v>-0.01305970149</v>
      </c>
      <c r="K5" s="119">
        <f>22361/20782-1</f>
        <v>0.07597921278</v>
      </c>
      <c r="L5" s="118">
        <f>20782/19469-1</f>
        <v>0.06744054651</v>
      </c>
    </row>
    <row r="6">
      <c r="B6" s="45"/>
      <c r="C6" s="45"/>
      <c r="E6" s="45"/>
      <c r="F6" s="45"/>
      <c r="H6" s="45"/>
      <c r="I6" s="45"/>
      <c r="K6" s="45"/>
      <c r="L6" s="45"/>
    </row>
    <row r="7" ht="15.0" customHeight="1">
      <c r="B7" s="45"/>
      <c r="C7" s="45"/>
      <c r="E7" s="45"/>
      <c r="F7" s="45"/>
      <c r="H7" s="45"/>
      <c r="I7" s="45"/>
      <c r="K7" s="45"/>
      <c r="L7" s="45"/>
    </row>
    <row r="8">
      <c r="A8" s="114" t="s">
        <v>109</v>
      </c>
      <c r="B8" s="91"/>
      <c r="C8" s="52"/>
      <c r="E8" s="115">
        <f>$B$3</f>
        <v>2024</v>
      </c>
      <c r="F8" s="52">
        <f>$C$3</f>
        <v>2023</v>
      </c>
      <c r="H8" s="115">
        <f>$B$3</f>
        <v>2024</v>
      </c>
      <c r="I8" s="52">
        <f>$C$3</f>
        <v>2023</v>
      </c>
      <c r="K8" s="115">
        <f>$B$3</f>
        <v>2024</v>
      </c>
      <c r="L8" s="52">
        <f>$C$3</f>
        <v>2023</v>
      </c>
    </row>
    <row r="9">
      <c r="A9" s="55"/>
      <c r="B9" s="94"/>
      <c r="C9" s="58"/>
      <c r="E9" s="116"/>
      <c r="F9" s="58"/>
      <c r="H9" s="116"/>
      <c r="I9" s="58"/>
      <c r="K9" s="116"/>
      <c r="L9" s="58"/>
    </row>
    <row r="10">
      <c r="A10" s="55" t="s">
        <v>110</v>
      </c>
      <c r="B10" s="120">
        <f>('Income statement'!C8/'Income statement'!C5)</f>
        <v>0.6703234415</v>
      </c>
      <c r="C10" s="121">
        <f>('Income statement'!D8/'Income statement'!D5)</f>
        <v>0.6880433647</v>
      </c>
      <c r="E10" s="122">
        <v>0.6703</v>
      </c>
      <c r="F10" s="121">
        <v>0.688</v>
      </c>
      <c r="H10" s="122">
        <v>0.7375</v>
      </c>
      <c r="I10" s="121">
        <v>0.7629</v>
      </c>
      <c r="K10" s="122">
        <v>0.6807</v>
      </c>
      <c r="L10" s="121">
        <v>0.6874</v>
      </c>
    </row>
    <row r="11">
      <c r="A11" s="55"/>
      <c r="B11" s="94"/>
      <c r="C11" s="58"/>
      <c r="E11" s="116"/>
      <c r="F11" s="58"/>
      <c r="H11" s="122"/>
      <c r="I11" s="121"/>
      <c r="K11" s="122"/>
      <c r="L11" s="121"/>
    </row>
    <row r="12">
      <c r="A12" s="55" t="s">
        <v>111</v>
      </c>
      <c r="B12" s="94">
        <v>26703.0</v>
      </c>
      <c r="C12" s="58">
        <v>29737.0</v>
      </c>
      <c r="E12" s="116"/>
      <c r="F12" s="58"/>
      <c r="H12" s="122"/>
      <c r="I12" s="121"/>
      <c r="K12" s="122"/>
      <c r="L12" s="121"/>
    </row>
    <row r="13">
      <c r="A13" s="55"/>
      <c r="B13" s="94"/>
      <c r="C13" s="58"/>
      <c r="E13" s="116"/>
      <c r="F13" s="58"/>
      <c r="H13" s="122"/>
      <c r="I13" s="121"/>
      <c r="K13" s="122"/>
      <c r="L13" s="121"/>
    </row>
    <row r="14">
      <c r="A14" s="55" t="s">
        <v>112</v>
      </c>
      <c r="B14" s="120">
        <f>B12/'Income statement'!C5</f>
        <v>0.3153289326</v>
      </c>
      <c r="C14" s="121">
        <f>C12/'Income statement'!D5</f>
        <v>0.3451649972</v>
      </c>
      <c r="E14" s="122">
        <v>0.2649</v>
      </c>
      <c r="F14" s="121">
        <v>0.2932</v>
      </c>
      <c r="H14" s="122">
        <v>0.2047</v>
      </c>
      <c r="I14" s="121">
        <v>0.2863</v>
      </c>
      <c r="K14" s="122">
        <v>0.2659</v>
      </c>
      <c r="L14" s="121">
        <v>0.2874</v>
      </c>
    </row>
    <row r="15">
      <c r="A15" s="55"/>
      <c r="B15" s="94"/>
      <c r="C15" s="58"/>
      <c r="E15" s="116"/>
      <c r="F15" s="58"/>
      <c r="H15" s="122"/>
      <c r="I15" s="121"/>
      <c r="K15" s="122"/>
      <c r="L15" s="121"/>
    </row>
    <row r="16">
      <c r="A16" s="55" t="s">
        <v>113</v>
      </c>
      <c r="B16" s="120">
        <f>('Income statement'!C18/'Income statement'!C5)</f>
        <v>0.2232679522</v>
      </c>
      <c r="C16" s="121">
        <f>('Income statement'!D18/'Income statement'!D5)</f>
        <v>0.2618597147</v>
      </c>
      <c r="E16" s="122">
        <v>0.2312</v>
      </c>
      <c r="F16" s="121">
        <v>0.2644</v>
      </c>
      <c r="H16" s="122">
        <v>0.1485</v>
      </c>
      <c r="I16" s="121">
        <v>0.2426</v>
      </c>
      <c r="K16" s="122">
        <v>0.2358</v>
      </c>
      <c r="L16" s="121">
        <v>0.255</v>
      </c>
    </row>
    <row r="17">
      <c r="A17" s="55"/>
      <c r="B17" s="94"/>
      <c r="C17" s="58"/>
      <c r="E17" s="116"/>
      <c r="F17" s="58"/>
      <c r="H17" s="122"/>
      <c r="I17" s="121"/>
      <c r="K17" s="122"/>
      <c r="L17" s="121"/>
    </row>
    <row r="18" ht="15.0" customHeight="1">
      <c r="A18" s="66" t="s">
        <v>114</v>
      </c>
      <c r="B18" s="117">
        <f>('Income statement'!C28/'Income statement'!C5)</f>
        <v>0.1530177249</v>
      </c>
      <c r="C18" s="118">
        <f>('Income statement'!D28/'Income statement'!D5)</f>
        <v>0.1851589614</v>
      </c>
      <c r="E18" s="119">
        <v>0.1482</v>
      </c>
      <c r="F18" s="118">
        <v>0.1761</v>
      </c>
      <c r="H18" s="119">
        <v>0.0659</v>
      </c>
      <c r="I18" s="118">
        <v>0.1525</v>
      </c>
      <c r="K18" s="119">
        <v>0.1146</v>
      </c>
      <c r="L18" s="118">
        <v>0.0157</v>
      </c>
    </row>
    <row r="19">
      <c r="B19" s="45"/>
      <c r="C19" s="45"/>
      <c r="E19" s="45"/>
      <c r="F19" s="45"/>
      <c r="H19" s="45"/>
      <c r="I19" s="45"/>
      <c r="K19" s="45"/>
      <c r="L19" s="45"/>
    </row>
    <row r="20" ht="15.0" customHeight="1">
      <c r="B20" s="45"/>
      <c r="C20" s="45"/>
      <c r="E20" s="45"/>
      <c r="F20" s="45"/>
      <c r="H20" s="45"/>
      <c r="I20" s="45"/>
      <c r="K20" s="45"/>
      <c r="L20" s="45"/>
    </row>
    <row r="21" ht="15.75" customHeight="1">
      <c r="A21" s="114" t="s">
        <v>115</v>
      </c>
      <c r="B21" s="91"/>
      <c r="C21" s="52"/>
      <c r="E21" s="115">
        <f>$B$3</f>
        <v>2024</v>
      </c>
      <c r="F21" s="52">
        <f>$C$3</f>
        <v>2023</v>
      </c>
      <c r="H21" s="115">
        <f>$B$3</f>
        <v>2024</v>
      </c>
      <c r="I21" s="52">
        <f>$C$3</f>
        <v>2023</v>
      </c>
      <c r="K21" s="115">
        <f>$B$3</f>
        <v>2024</v>
      </c>
      <c r="L21" s="52">
        <f>$C$3</f>
        <v>2023</v>
      </c>
    </row>
    <row r="22" ht="15.75" customHeight="1">
      <c r="A22" s="55"/>
      <c r="B22" s="94"/>
      <c r="C22" s="58"/>
      <c r="E22" s="116"/>
      <c r="F22" s="58"/>
      <c r="H22" s="116"/>
      <c r="I22" s="58"/>
      <c r="K22" s="116"/>
      <c r="L22" s="58"/>
    </row>
    <row r="23" ht="15.75" customHeight="1">
      <c r="A23" s="55" t="s">
        <v>116</v>
      </c>
      <c r="B23" s="94">
        <f>'Income statement'!C28+'Cash flow statement'!C9</f>
        <v>20754</v>
      </c>
      <c r="C23" s="58">
        <f>'Income statement'!D28+'Cash flow statement'!D9</f>
        <v>23129</v>
      </c>
      <c r="E23" s="116"/>
      <c r="F23" s="58"/>
      <c r="H23" s="116"/>
      <c r="I23" s="58"/>
      <c r="K23" s="116"/>
      <c r="L23" s="58"/>
    </row>
    <row r="24" ht="15.75" customHeight="1">
      <c r="A24" s="55"/>
      <c r="B24" s="94"/>
      <c r="C24" s="58"/>
      <c r="E24" s="116"/>
      <c r="F24" s="58"/>
      <c r="H24" s="116"/>
      <c r="I24" s="58"/>
      <c r="K24" s="116"/>
      <c r="L24" s="58"/>
    </row>
    <row r="25" ht="15.75" customHeight="1">
      <c r="A25" s="55" t="s">
        <v>117</v>
      </c>
      <c r="B25" s="120">
        <f>B23/'Income statement'!C5</f>
        <v>0.2450787053</v>
      </c>
      <c r="C25" s="121">
        <f>C23/'Income statement'!D5</f>
        <v>0.2684642438</v>
      </c>
      <c r="E25" s="122"/>
      <c r="F25" s="121"/>
      <c r="H25" s="123"/>
      <c r="I25" s="124"/>
      <c r="K25" s="123"/>
      <c r="L25" s="124"/>
    </row>
    <row r="26" ht="15.75" customHeight="1">
      <c r="A26" s="55"/>
      <c r="B26" s="94"/>
      <c r="C26" s="58"/>
      <c r="E26" s="116"/>
      <c r="F26" s="58"/>
      <c r="H26" s="116"/>
      <c r="I26" s="58"/>
      <c r="K26" s="116"/>
      <c r="L26" s="58"/>
    </row>
    <row r="27" ht="15.75" customHeight="1">
      <c r="A27" s="55" t="s">
        <v>118</v>
      </c>
      <c r="B27" s="58">
        <f>'Cash flow statement'!C14+'Cash flow statement'!C17</f>
        <v>13393</v>
      </c>
      <c r="C27" s="58">
        <f>'Cash flow statement'!D14+'Cash flow statement'!D17</f>
        <v>10922</v>
      </c>
      <c r="E27" s="116"/>
      <c r="F27" s="58"/>
      <c r="H27" s="116"/>
      <c r="I27" s="58"/>
      <c r="K27" s="116"/>
      <c r="L27" s="58"/>
    </row>
    <row r="28" ht="15.75" customHeight="1">
      <c r="A28" s="55"/>
      <c r="B28" s="94"/>
      <c r="C28" s="58"/>
      <c r="E28" s="116"/>
      <c r="F28" s="58"/>
      <c r="H28" s="116"/>
      <c r="I28" s="58"/>
      <c r="K28" s="116"/>
      <c r="L28" s="58"/>
    </row>
    <row r="29" ht="15.0" customHeight="1">
      <c r="A29" s="66" t="s">
        <v>119</v>
      </c>
      <c r="B29" s="117">
        <f>B27/'Income statement'!C5</f>
        <v>0.1581545292</v>
      </c>
      <c r="C29" s="118">
        <f>C27/'Income statement'!D5</f>
        <v>0.1267744594</v>
      </c>
      <c r="E29" s="119">
        <f>12320/91615</f>
        <v>0.1344757954</v>
      </c>
      <c r="F29" s="118">
        <f>9108/93173</f>
        <v>0.09775364108</v>
      </c>
      <c r="H29" s="119">
        <f>696/18601</f>
        <v>0.03741734315</v>
      </c>
      <c r="I29" s="118">
        <f>1357/21160</f>
        <v>0.06413043478</v>
      </c>
      <c r="K29" s="119">
        <f>3038/22361</f>
        <v>0.1358615447</v>
      </c>
      <c r="L29" s="118">
        <f>1771/20782</f>
        <v>0.0852179771</v>
      </c>
    </row>
    <row r="30" ht="15.75" customHeight="1">
      <c r="B30" s="45"/>
      <c r="C30" s="45"/>
      <c r="E30" s="45"/>
      <c r="F30" s="45"/>
      <c r="H30" s="45"/>
      <c r="I30" s="45"/>
      <c r="K30" s="45"/>
      <c r="L30" s="45"/>
    </row>
    <row r="31" ht="15.0" customHeight="1">
      <c r="B31" s="45"/>
      <c r="C31" s="45"/>
      <c r="E31" s="45"/>
      <c r="F31" s="45"/>
      <c r="H31" s="45"/>
      <c r="I31" s="45"/>
      <c r="K31" s="45"/>
      <c r="L31" s="45"/>
    </row>
    <row r="32" ht="15.75" customHeight="1">
      <c r="A32" s="114" t="s">
        <v>120</v>
      </c>
      <c r="B32" s="91"/>
      <c r="C32" s="52"/>
      <c r="E32" s="115">
        <f>$B$3</f>
        <v>2024</v>
      </c>
      <c r="F32" s="52">
        <f>$C$3</f>
        <v>2023</v>
      </c>
      <c r="H32" s="115">
        <f>$B$3</f>
        <v>2024</v>
      </c>
      <c r="I32" s="52">
        <f>$C$3</f>
        <v>2023</v>
      </c>
      <c r="K32" s="115">
        <f>$B$3</f>
        <v>2024</v>
      </c>
      <c r="L32" s="52">
        <f>$C$3</f>
        <v>2023</v>
      </c>
    </row>
    <row r="33" ht="15.75" customHeight="1">
      <c r="A33" s="55"/>
      <c r="B33" s="94"/>
      <c r="C33" s="58"/>
      <c r="E33" s="116"/>
      <c r="F33" s="58"/>
      <c r="H33" s="116"/>
      <c r="I33" s="58"/>
      <c r="K33" s="116"/>
      <c r="L33" s="58"/>
    </row>
    <row r="34" ht="15.75" customHeight="1">
      <c r="A34" s="55" t="s">
        <v>121</v>
      </c>
      <c r="B34" s="120">
        <f>('Income statement'!C32/((('Balance sheet'!C32-'Balance sheet'!C31)+('Balance sheet'!D32-'Balance sheet'!D31))/2))</f>
        <v>0.1952790701</v>
      </c>
      <c r="C34" s="121">
        <f>('Income statement'!D32/((('Balance sheet'!D32-'Balance sheet'!D31)+('Balance sheet'!E32-'Balance sheet'!E31))/2))</f>
        <v>0.261332323</v>
      </c>
      <c r="E34" s="122">
        <v>0.1964</v>
      </c>
      <c r="F34" s="121">
        <v>0.2674</v>
      </c>
      <c r="H34" s="122">
        <v>0.0773</v>
      </c>
      <c r="I34" s="121">
        <v>0.1997</v>
      </c>
      <c r="K34" s="122">
        <v>0.1926</v>
      </c>
      <c r="L34" s="121">
        <v>0.2012</v>
      </c>
    </row>
    <row r="35" ht="15.75" customHeight="1">
      <c r="A35" s="55"/>
      <c r="B35" s="94"/>
      <c r="C35" s="58"/>
      <c r="E35" s="116"/>
      <c r="F35" s="58"/>
      <c r="H35" s="122"/>
      <c r="I35" s="121"/>
      <c r="K35" s="122"/>
      <c r="L35" s="121"/>
    </row>
    <row r="36" ht="15.75" customHeight="1">
      <c r="A36" s="55" t="s">
        <v>122</v>
      </c>
      <c r="B36" s="125">
        <f>('Income statement'!C5/(( 'Balance sheet'!C20 + 'Balance sheet'!D20)/2))</f>
        <v>0.5782698952</v>
      </c>
      <c r="C36" s="126">
        <f>('Income statement'!D5/(( 'Balance sheet'!D20 + 'Balance sheet'!E20)/2))</f>
        <v>0.6190486455</v>
      </c>
      <c r="E36" s="127"/>
      <c r="F36" s="126"/>
      <c r="H36" s="127"/>
      <c r="I36" s="126"/>
      <c r="K36" s="127"/>
      <c r="L36" s="126"/>
    </row>
    <row r="37" ht="15.75" customHeight="1">
      <c r="A37" s="55"/>
      <c r="B37" s="94"/>
      <c r="C37" s="58"/>
      <c r="E37" s="116"/>
      <c r="F37" s="58"/>
      <c r="H37" s="122"/>
      <c r="I37" s="121"/>
      <c r="K37" s="122"/>
      <c r="L37" s="121"/>
    </row>
    <row r="38" ht="15.75" customHeight="1">
      <c r="A38" s="55" t="s">
        <v>123</v>
      </c>
      <c r="B38" s="120">
        <f>'Income statement'!C18/('Balance sheet'!C20-'Balance sheet'!C46)</f>
        <v>0.1637054739</v>
      </c>
      <c r="C38" s="121">
        <f>'Income statement'!D18/('Balance sheet'!D20-'Balance sheet'!D46)</f>
        <v>0.2040724023</v>
      </c>
      <c r="E38" s="122">
        <v>0.1153</v>
      </c>
      <c r="F38" s="121">
        <v>0.1468</v>
      </c>
      <c r="H38" s="122">
        <v>0.0458</v>
      </c>
      <c r="I38" s="121">
        <v>0.0981</v>
      </c>
      <c r="K38" s="122">
        <v>0.0847</v>
      </c>
      <c r="L38" s="121">
        <v>0.0913</v>
      </c>
    </row>
    <row r="39" ht="15.0" customHeight="1">
      <c r="A39" s="128"/>
      <c r="B39" s="129"/>
      <c r="C39" s="130"/>
      <c r="E39" s="131"/>
      <c r="F39" s="132"/>
      <c r="H39" s="131"/>
      <c r="I39" s="132"/>
      <c r="K39" s="131"/>
      <c r="L39" s="132"/>
    </row>
    <row r="40" ht="15.75" customHeight="1">
      <c r="B40" s="133"/>
      <c r="C40" s="133"/>
      <c r="E40" s="133"/>
      <c r="F40" s="133"/>
      <c r="H40" s="133"/>
      <c r="I40" s="133"/>
      <c r="K40" s="133"/>
      <c r="L40" s="133"/>
    </row>
    <row r="41" ht="15.0" customHeight="1">
      <c r="B41" s="45"/>
      <c r="C41" s="45"/>
      <c r="E41" s="45"/>
      <c r="F41" s="45"/>
      <c r="H41" s="45"/>
      <c r="I41" s="45"/>
      <c r="K41" s="45"/>
      <c r="L41" s="45"/>
    </row>
    <row r="42" ht="15.75" customHeight="1">
      <c r="A42" s="114" t="s">
        <v>124</v>
      </c>
      <c r="B42" s="91"/>
      <c r="C42" s="52"/>
      <c r="E42" s="115">
        <f>$B$3</f>
        <v>2024</v>
      </c>
      <c r="F42" s="52">
        <f>$C$3</f>
        <v>2023</v>
      </c>
      <c r="H42" s="115">
        <f>$B$3</f>
        <v>2024</v>
      </c>
      <c r="I42" s="52">
        <f>$C$3</f>
        <v>2023</v>
      </c>
      <c r="K42" s="115">
        <f>$B$3</f>
        <v>2024</v>
      </c>
      <c r="L42" s="52">
        <f>$C$3</f>
        <v>2023</v>
      </c>
    </row>
    <row r="43" ht="15.75" customHeight="1">
      <c r="A43" s="55"/>
      <c r="B43" s="94"/>
      <c r="C43" s="58"/>
      <c r="E43" s="116"/>
      <c r="F43" s="58"/>
      <c r="H43" s="116"/>
      <c r="I43" s="58"/>
      <c r="K43" s="116"/>
      <c r="L43" s="58"/>
    </row>
    <row r="44" ht="15.75" customHeight="1">
      <c r="A44" s="55" t="s">
        <v>125</v>
      </c>
      <c r="B44" s="94">
        <f>'Balance sheet'!C35+'Balance sheet'!C42-'Balance sheet'!C17</f>
        <v>13311</v>
      </c>
      <c r="C44" s="58">
        <f>'Balance sheet'!D35+'Balance sheet'!D42-'Balance sheet'!D17</f>
        <v>14133</v>
      </c>
      <c r="E44" s="116"/>
      <c r="F44" s="58"/>
      <c r="H44" s="116"/>
      <c r="I44" s="58"/>
      <c r="K44" s="116"/>
      <c r="L44" s="58"/>
    </row>
    <row r="45" ht="15.75" customHeight="1">
      <c r="A45" s="55"/>
      <c r="B45" s="94"/>
      <c r="C45" s="58"/>
      <c r="E45" s="116"/>
      <c r="F45" s="58"/>
      <c r="H45" s="116"/>
      <c r="I45" s="58"/>
      <c r="K45" s="116"/>
      <c r="L45" s="58"/>
    </row>
    <row r="46" ht="15.75" customHeight="1">
      <c r="A46" s="55" t="s">
        <v>126</v>
      </c>
      <c r="B46" s="120">
        <f>B44/('Balance sheet'!C32-'Balance sheet'!C31)</f>
        <v>0.1971503473</v>
      </c>
      <c r="C46" s="121">
        <f>C44/('Balance sheet'!D32-'Balance sheet'!D31)</f>
        <v>0.2316239736</v>
      </c>
      <c r="E46" s="122">
        <f>28673/71733</f>
        <v>0.3997184002</v>
      </c>
      <c r="F46" s="121">
        <f>30628/69306</f>
        <v>0.4419242201</v>
      </c>
      <c r="H46" s="122">
        <f>17211/16285</f>
        <v>1.056862143</v>
      </c>
      <c r="I46" s="124">
        <f>15363/17696</f>
        <v>0.8681622966</v>
      </c>
      <c r="K46" s="122" t="s">
        <v>127</v>
      </c>
      <c r="L46" s="124" t="s">
        <v>127</v>
      </c>
    </row>
    <row r="47" ht="15.75" customHeight="1">
      <c r="A47" s="55"/>
      <c r="B47" s="120"/>
      <c r="C47" s="121"/>
      <c r="E47" s="116"/>
      <c r="F47" s="126"/>
      <c r="H47" s="116"/>
      <c r="I47" s="58"/>
      <c r="K47" s="116"/>
      <c r="L47" s="58"/>
    </row>
    <row r="48" ht="15.75" customHeight="1">
      <c r="A48" s="55" t="s">
        <v>128</v>
      </c>
      <c r="B48" s="94">
        <f>('Balance sheet'!C35+'Balance sheet'!C42)</f>
        <v>22942</v>
      </c>
      <c r="C48" s="58">
        <f>('Balance sheet'!D35+'Balance sheet'!D42)</f>
        <v>21907</v>
      </c>
      <c r="E48" s="116"/>
      <c r="F48" s="134"/>
      <c r="H48" s="116"/>
      <c r="I48" s="58"/>
      <c r="K48" s="116"/>
      <c r="L48" s="58"/>
    </row>
    <row r="49" ht="15.75" customHeight="1">
      <c r="A49" s="55"/>
      <c r="B49" s="120"/>
      <c r="C49" s="121"/>
      <c r="E49" s="116"/>
      <c r="F49" s="126"/>
      <c r="H49" s="116"/>
      <c r="I49" s="58"/>
      <c r="K49" s="116"/>
      <c r="L49" s="58"/>
    </row>
    <row r="50" ht="15.75" customHeight="1">
      <c r="A50" s="55" t="s">
        <v>129</v>
      </c>
      <c r="B50" s="120">
        <f>B48/('Balance sheet'!C32-'Balance sheet'!C31)</f>
        <v>0.3397959033</v>
      </c>
      <c r="C50" s="121">
        <f>('Balance sheet'!D35+'Balance sheet'!D42)/(('Balance sheet'!D32-'Balance sheet'!D31))</f>
        <v>0.3590310897</v>
      </c>
      <c r="E50" s="122">
        <v>0.5961</v>
      </c>
      <c r="F50" s="121">
        <v>0.622</v>
      </c>
      <c r="H50" s="122">
        <v>1.2805</v>
      </c>
      <c r="I50" s="121">
        <v>1.1131</v>
      </c>
      <c r="K50" s="122">
        <v>0.7931</v>
      </c>
      <c r="L50" s="121">
        <v>0.8262</v>
      </c>
    </row>
    <row r="51" ht="15.75" customHeight="1">
      <c r="A51" s="55"/>
      <c r="B51" s="94"/>
      <c r="C51" s="126"/>
      <c r="E51" s="116"/>
      <c r="F51" s="126"/>
      <c r="H51" s="116"/>
      <c r="I51" s="58"/>
      <c r="K51" s="116"/>
      <c r="L51" s="58"/>
    </row>
    <row r="52" ht="15.75" customHeight="1">
      <c r="A52" s="55" t="s">
        <v>130</v>
      </c>
      <c r="B52" s="135">
        <f>B48/'Income statement'!C18</f>
        <v>1.213413022</v>
      </c>
      <c r="C52" s="136">
        <f>C48/'Income statement'!D18</f>
        <v>0.9710549645</v>
      </c>
      <c r="D52" s="137"/>
      <c r="E52" s="127">
        <v>1.61</v>
      </c>
      <c r="F52" s="126">
        <v>1.38</v>
      </c>
      <c r="H52" s="116">
        <v>4.33</v>
      </c>
      <c r="I52" s="58">
        <v>2.71</v>
      </c>
      <c r="K52" s="116">
        <v>2.62</v>
      </c>
      <c r="L52" s="58">
        <v>2.43</v>
      </c>
    </row>
    <row r="53" ht="15.75" customHeight="1">
      <c r="A53" s="55"/>
      <c r="B53" s="94"/>
      <c r="C53" s="126"/>
      <c r="E53" s="116"/>
      <c r="F53" s="126"/>
      <c r="H53" s="116"/>
      <c r="I53" s="58"/>
      <c r="K53" s="116"/>
      <c r="L53" s="58"/>
    </row>
    <row r="54" ht="15.0" customHeight="1">
      <c r="A54" s="66" t="s">
        <v>131</v>
      </c>
      <c r="B54" s="138">
        <f>'Income statement'!C18/ABS('Cash flow statement'!C10)</f>
        <v>22.50833333</v>
      </c>
      <c r="C54" s="139">
        <f>'Income statement'!D18/ABS('Cash flow statement'!D10)</f>
        <v>27.74907749</v>
      </c>
      <c r="E54" s="140">
        <v>16.51</v>
      </c>
      <c r="F54" s="139">
        <v>23.41</v>
      </c>
      <c r="H54" s="141">
        <v>4.24</v>
      </c>
      <c r="I54" s="69">
        <v>13.15</v>
      </c>
      <c r="K54" s="141">
        <v>10.95</v>
      </c>
      <c r="L54" s="69">
        <v>16.79</v>
      </c>
    </row>
    <row r="55" ht="15.75" customHeight="1">
      <c r="B55" s="45"/>
      <c r="C55" s="45"/>
      <c r="E55" s="45"/>
      <c r="F55" s="45"/>
      <c r="H55" s="45"/>
      <c r="I55" s="45"/>
      <c r="K55" s="45"/>
      <c r="L55" s="45"/>
    </row>
    <row r="56" ht="15.0" customHeight="1">
      <c r="B56" s="45"/>
      <c r="C56" s="45"/>
      <c r="E56" s="45"/>
      <c r="F56" s="45"/>
      <c r="H56" s="45"/>
      <c r="I56" s="45"/>
      <c r="K56" s="45"/>
      <c r="L56" s="45"/>
    </row>
    <row r="57" ht="15.75" customHeight="1">
      <c r="A57" s="114" t="s">
        <v>132</v>
      </c>
      <c r="B57" s="91"/>
      <c r="C57" s="52"/>
      <c r="E57" s="115">
        <f>$B$3</f>
        <v>2024</v>
      </c>
      <c r="F57" s="52">
        <f>$C$3</f>
        <v>2023</v>
      </c>
      <c r="H57" s="115">
        <f>$B$3</f>
        <v>2024</v>
      </c>
      <c r="I57" s="52">
        <f>$C$3</f>
        <v>2023</v>
      </c>
      <c r="K57" s="115">
        <f>$B$3</f>
        <v>2024</v>
      </c>
      <c r="L57" s="52">
        <f>$C$3</f>
        <v>2023</v>
      </c>
    </row>
    <row r="58" ht="15.75" customHeight="1">
      <c r="A58" s="55"/>
      <c r="B58" s="94"/>
      <c r="C58" s="58"/>
      <c r="E58" s="116"/>
      <c r="F58" s="58"/>
      <c r="H58" s="116"/>
      <c r="I58" s="58"/>
      <c r="K58" s="116"/>
      <c r="L58" s="58"/>
    </row>
    <row r="59" ht="15.75" customHeight="1">
      <c r="A59" s="55" t="s">
        <v>133</v>
      </c>
      <c r="B59" s="125">
        <f>'Balance sheet'!C18/'Balance sheet'!C46</f>
        <v>1.408802232</v>
      </c>
      <c r="C59" s="126">
        <f>'Balance sheet'!D18/'Balance sheet'!D46</f>
        <v>1.318750943</v>
      </c>
      <c r="E59" s="127">
        <v>1.41</v>
      </c>
      <c r="F59" s="126">
        <v>1.32</v>
      </c>
      <c r="H59" s="116">
        <v>1.11</v>
      </c>
      <c r="I59" s="58">
        <v>1.38</v>
      </c>
      <c r="K59" s="116">
        <v>2.65</v>
      </c>
      <c r="L59" s="58">
        <v>2.47</v>
      </c>
    </row>
    <row r="60" ht="15.75" customHeight="1">
      <c r="A60" s="55"/>
      <c r="B60" s="125"/>
      <c r="C60" s="126"/>
      <c r="E60" s="142"/>
      <c r="F60" s="143"/>
      <c r="H60" s="116"/>
      <c r="I60" s="58"/>
      <c r="K60" s="116"/>
      <c r="L60" s="58"/>
    </row>
    <row r="61" ht="15.75" customHeight="1">
      <c r="A61" s="55" t="s">
        <v>134</v>
      </c>
      <c r="B61" s="144">
        <f>('Balance sheet'!C18-'Balance sheet'!C14)/'Balance sheet'!C46</f>
        <v>0.7063746439</v>
      </c>
      <c r="C61" s="145">
        <f>('Balance sheet'!D18-'Balance sheet'!D14)/'Balance sheet'!D46</f>
        <v>0.6262784734</v>
      </c>
      <c r="E61" s="127">
        <v>0.66</v>
      </c>
      <c r="F61" s="126">
        <v>0.58</v>
      </c>
      <c r="H61" s="116">
        <v>0.54</v>
      </c>
      <c r="I61" s="58">
        <v>0.68</v>
      </c>
      <c r="K61" s="116">
        <v>1.8</v>
      </c>
      <c r="L61" s="58">
        <v>1.61</v>
      </c>
    </row>
    <row r="62" ht="15.75" customHeight="1">
      <c r="A62" s="55"/>
      <c r="B62" s="94"/>
      <c r="C62" s="58"/>
      <c r="E62" s="116"/>
      <c r="F62" s="58"/>
      <c r="H62" s="116"/>
      <c r="I62" s="58"/>
      <c r="K62" s="116"/>
      <c r="L62" s="58"/>
    </row>
    <row r="63" ht="15.0" customHeight="1">
      <c r="A63" s="66" t="s">
        <v>135</v>
      </c>
      <c r="B63" s="146">
        <f>'Balance sheet'!C17-B48</f>
        <v>-13311</v>
      </c>
      <c r="C63" s="69">
        <f>'Balance sheet'!D17-C48</f>
        <v>-14133</v>
      </c>
      <c r="E63" s="141"/>
      <c r="F63" s="69"/>
      <c r="H63" s="141"/>
      <c r="I63" s="69"/>
      <c r="K63" s="141"/>
      <c r="L63" s="69"/>
    </row>
    <row r="64" ht="15.75" customHeight="1">
      <c r="B64" s="45"/>
      <c r="C64" s="45"/>
      <c r="E64" s="45"/>
      <c r="F64" s="45"/>
      <c r="H64" s="45"/>
      <c r="I64" s="45"/>
      <c r="K64" s="45"/>
      <c r="L64" s="45"/>
    </row>
    <row r="65" ht="15.0" customHeight="1">
      <c r="B65" s="45"/>
      <c r="C65" s="45"/>
      <c r="E65" s="45"/>
      <c r="F65" s="45"/>
      <c r="H65" s="45"/>
      <c r="I65" s="45"/>
      <c r="K65" s="45"/>
      <c r="L65" s="45"/>
    </row>
    <row r="66" ht="15.75" customHeight="1">
      <c r="A66" s="114" t="s">
        <v>136</v>
      </c>
      <c r="B66" s="91"/>
      <c r="C66" s="52"/>
      <c r="E66" s="115">
        <f>$B$3</f>
        <v>2024</v>
      </c>
      <c r="F66" s="52">
        <f>$C$3</f>
        <v>2023</v>
      </c>
      <c r="H66" s="115">
        <f>$B$3</f>
        <v>2024</v>
      </c>
      <c r="I66" s="52">
        <f>$C$3</f>
        <v>2023</v>
      </c>
      <c r="K66" s="115">
        <f>$B$3</f>
        <v>2024</v>
      </c>
      <c r="L66" s="52">
        <f>$C$3</f>
        <v>2023</v>
      </c>
    </row>
    <row r="67" ht="15.75" customHeight="1">
      <c r="A67" s="55"/>
      <c r="B67" s="94"/>
      <c r="C67" s="58"/>
      <c r="E67" s="116"/>
      <c r="F67" s="58"/>
      <c r="H67" s="116"/>
      <c r="I67" s="58"/>
      <c r="K67" s="116"/>
      <c r="L67" s="58"/>
    </row>
    <row r="68" ht="15.75" customHeight="1">
      <c r="A68" s="55" t="s">
        <v>137</v>
      </c>
      <c r="B68" s="147">
        <f>('Balance sheet'!C15/'Income statement'!C5)*365</f>
        <v>20.38720877</v>
      </c>
      <c r="C68" s="143">
        <f>('Balance sheet'!D15/'Income statement'!D5)*365</f>
        <v>20.0308753</v>
      </c>
      <c r="E68" s="142">
        <v>20.4</v>
      </c>
      <c r="F68" s="143">
        <v>19.0</v>
      </c>
      <c r="H68" s="116">
        <v>22.9</v>
      </c>
      <c r="I68" s="58">
        <v>21.7</v>
      </c>
      <c r="K68" s="116">
        <v>15.8</v>
      </c>
      <c r="L68" s="58">
        <v>14.5</v>
      </c>
    </row>
    <row r="69" ht="15.75" customHeight="1">
      <c r="A69" s="55"/>
      <c r="B69" s="147"/>
      <c r="C69" s="143"/>
      <c r="E69" s="142"/>
      <c r="F69" s="143"/>
      <c r="H69" s="116"/>
      <c r="I69" s="58"/>
      <c r="K69" s="116"/>
      <c r="L69" s="58"/>
    </row>
    <row r="70" ht="15.0" customHeight="1">
      <c r="A70" s="66" t="s">
        <v>138</v>
      </c>
      <c r="B70" s="148">
        <f>('Balance sheet'!C14/ABS('Income statement'!C6))*365</f>
        <v>309.4485637</v>
      </c>
      <c r="C70" s="149">
        <f>('Balance sheet'!D14/ABS('Income statement'!D6))*365</f>
        <v>311.7085876</v>
      </c>
      <c r="E70" s="150">
        <v>305.6</v>
      </c>
      <c r="F70" s="149">
        <v>293.8</v>
      </c>
      <c r="H70" s="141">
        <v>346.4</v>
      </c>
      <c r="I70" s="69">
        <v>354.7</v>
      </c>
      <c r="K70" s="141">
        <v>419.2</v>
      </c>
      <c r="L70" s="69">
        <v>415.4</v>
      </c>
    </row>
    <row r="71" ht="15.75" customHeight="1">
      <c r="B71" s="45"/>
      <c r="C71" s="45"/>
      <c r="E71" s="45"/>
      <c r="F71" s="45"/>
      <c r="H71" s="45"/>
      <c r="I71" s="45"/>
      <c r="K71" s="45"/>
      <c r="L71" s="45"/>
    </row>
    <row r="72" ht="15.75" customHeight="1">
      <c r="A72" s="70" t="s">
        <v>139</v>
      </c>
      <c r="B72" s="45"/>
      <c r="C72" s="45"/>
    </row>
    <row r="73" ht="15.75" customHeight="1">
      <c r="B73" s="45"/>
      <c r="C73" s="45"/>
    </row>
    <row r="74" ht="15.75" customHeight="1">
      <c r="A74" s="70" t="s">
        <v>140</v>
      </c>
      <c r="B74" s="45"/>
      <c r="C74" s="45"/>
    </row>
    <row r="75" ht="15.75" customHeight="1">
      <c r="B75" s="45"/>
      <c r="C75" s="45"/>
    </row>
    <row r="76" ht="15.75" customHeight="1">
      <c r="A76" s="70" t="s">
        <v>141</v>
      </c>
      <c r="B76" s="45"/>
      <c r="C76" s="45"/>
    </row>
    <row r="77" ht="15.75" customHeight="1">
      <c r="B77" s="45"/>
      <c r="C77" s="45"/>
    </row>
    <row r="78" ht="15.75" customHeight="1">
      <c r="B78" s="45"/>
      <c r="C78" s="45"/>
    </row>
    <row r="79" ht="15.75" customHeight="1">
      <c r="B79" s="45"/>
      <c r="C79" s="45"/>
    </row>
    <row r="80" ht="15.75" customHeight="1">
      <c r="B80" s="45"/>
      <c r="C80" s="45"/>
    </row>
    <row r="81" ht="15.75" customHeight="1">
      <c r="B81" s="45"/>
      <c r="C81" s="45"/>
    </row>
    <row r="82" ht="15.75" customHeight="1">
      <c r="B82" s="45"/>
      <c r="C82" s="45"/>
    </row>
    <row r="83" ht="15.75" customHeight="1">
      <c r="B83" s="45"/>
      <c r="C83" s="45"/>
    </row>
    <row r="84" ht="15.75" customHeight="1">
      <c r="B84" s="45"/>
      <c r="C84" s="45"/>
    </row>
    <row r="85" ht="15.75" customHeight="1">
      <c r="B85" s="45"/>
      <c r="C85" s="45"/>
    </row>
    <row r="86" ht="15.75" customHeight="1">
      <c r="B86" s="45"/>
      <c r="C86" s="45"/>
    </row>
    <row r="87" ht="15.75" customHeight="1">
      <c r="B87" s="45"/>
      <c r="C87" s="45"/>
    </row>
    <row r="88" ht="15.75" customHeight="1">
      <c r="B88" s="45"/>
      <c r="C88" s="45"/>
    </row>
    <row r="89" ht="15.75" customHeight="1">
      <c r="B89" s="45"/>
      <c r="C89" s="45"/>
    </row>
    <row r="90" ht="15.75" customHeight="1">
      <c r="B90" s="45"/>
      <c r="C90" s="45"/>
    </row>
    <row r="91" ht="15.75" customHeight="1">
      <c r="B91" s="45"/>
      <c r="C91" s="45"/>
    </row>
    <row r="92" ht="15.75" customHeight="1">
      <c r="B92" s="45"/>
      <c r="C92" s="45"/>
    </row>
    <row r="93" ht="15.75" customHeight="1">
      <c r="B93" s="45"/>
      <c r="C93" s="45"/>
    </row>
    <row r="94" ht="15.75" customHeight="1">
      <c r="B94" s="45"/>
      <c r="C94" s="45"/>
    </row>
    <row r="95" ht="15.75" customHeight="1">
      <c r="B95" s="45"/>
      <c r="C95" s="45"/>
    </row>
    <row r="96" ht="15.75" customHeight="1">
      <c r="B96" s="45"/>
      <c r="C96" s="45"/>
    </row>
    <row r="97" ht="15.75" customHeight="1">
      <c r="B97" s="45"/>
      <c r="C97" s="45"/>
    </row>
    <row r="98" ht="15.75" customHeight="1">
      <c r="B98" s="45"/>
      <c r="C98" s="45"/>
    </row>
    <row r="99" ht="15.75" customHeight="1">
      <c r="B99" s="45"/>
      <c r="C99" s="45"/>
    </row>
    <row r="100" ht="15.75" customHeight="1">
      <c r="B100" s="45"/>
      <c r="C100" s="45"/>
    </row>
    <row r="101" ht="15.75" customHeight="1">
      <c r="B101" s="45"/>
      <c r="C101" s="45"/>
    </row>
    <row r="102" ht="15.75" customHeight="1">
      <c r="B102" s="45"/>
      <c r="C102" s="45"/>
    </row>
    <row r="103" ht="15.75" customHeight="1">
      <c r="B103" s="45"/>
      <c r="C103" s="45"/>
    </row>
    <row r="104" ht="15.75" customHeight="1">
      <c r="B104" s="45"/>
      <c r="C104" s="45"/>
    </row>
    <row r="105" ht="15.75" customHeight="1">
      <c r="B105" s="45"/>
      <c r="C105" s="45"/>
    </row>
    <row r="106" ht="15.75" customHeight="1">
      <c r="B106" s="45"/>
      <c r="C106" s="45"/>
    </row>
    <row r="107" ht="15.75" customHeight="1">
      <c r="B107" s="45"/>
      <c r="C107" s="45"/>
    </row>
    <row r="108" ht="15.75" customHeight="1">
      <c r="B108" s="45"/>
      <c r="C108" s="45"/>
    </row>
    <row r="109" ht="15.75" customHeight="1">
      <c r="B109" s="45"/>
      <c r="C109" s="45"/>
    </row>
    <row r="110" ht="15.75" customHeight="1">
      <c r="B110" s="45"/>
      <c r="C110" s="45"/>
    </row>
    <row r="111" ht="15.75" customHeight="1">
      <c r="B111" s="45"/>
      <c r="C111" s="45"/>
    </row>
    <row r="112" ht="15.75" customHeight="1">
      <c r="B112" s="45"/>
      <c r="C112" s="45"/>
    </row>
    <row r="113" ht="15.75" customHeight="1">
      <c r="B113" s="45"/>
      <c r="C113" s="45"/>
    </row>
    <row r="114" ht="15.75" customHeight="1">
      <c r="B114" s="45"/>
      <c r="C114" s="45"/>
    </row>
    <row r="115" ht="15.75" customHeight="1">
      <c r="B115" s="45"/>
      <c r="C115" s="45"/>
    </row>
    <row r="116" ht="15.75" customHeight="1">
      <c r="B116" s="45"/>
      <c r="C116" s="45"/>
    </row>
    <row r="117" ht="15.75" customHeight="1">
      <c r="B117" s="45"/>
      <c r="C117" s="45"/>
    </row>
    <row r="118" ht="15.75" customHeight="1">
      <c r="B118" s="45"/>
      <c r="C118" s="45"/>
    </row>
    <row r="119" ht="15.75" customHeight="1">
      <c r="B119" s="45"/>
      <c r="C119" s="45"/>
    </row>
    <row r="120" ht="15.75" customHeight="1">
      <c r="B120" s="45"/>
      <c r="C120" s="45"/>
    </row>
    <row r="121" ht="15.75" customHeight="1">
      <c r="B121" s="45"/>
      <c r="C121" s="45"/>
    </row>
    <row r="122" ht="15.75" customHeight="1">
      <c r="B122" s="45"/>
      <c r="C122" s="45"/>
    </row>
    <row r="123" ht="15.75" customHeight="1">
      <c r="B123" s="45"/>
      <c r="C123" s="45"/>
    </row>
    <row r="124" ht="15.75" customHeight="1">
      <c r="B124" s="45"/>
      <c r="C124" s="45"/>
    </row>
    <row r="125" ht="15.75" customHeight="1">
      <c r="B125" s="45"/>
      <c r="C125" s="45"/>
    </row>
    <row r="126" ht="15.75" customHeight="1">
      <c r="B126" s="45"/>
      <c r="C126" s="45"/>
    </row>
    <row r="127" ht="15.75" customHeight="1">
      <c r="B127" s="45"/>
      <c r="C127" s="45"/>
    </row>
    <row r="128" ht="15.75" customHeight="1">
      <c r="B128" s="45"/>
      <c r="C128" s="45"/>
    </row>
    <row r="129" ht="15.75" customHeight="1">
      <c r="B129" s="45"/>
      <c r="C129" s="45"/>
    </row>
    <row r="130" ht="15.75" customHeight="1">
      <c r="B130" s="45"/>
      <c r="C130" s="45"/>
    </row>
    <row r="131" ht="15.75" customHeight="1">
      <c r="B131" s="45"/>
      <c r="C131" s="45"/>
    </row>
    <row r="132" ht="15.75" customHeight="1">
      <c r="B132" s="45"/>
      <c r="C132" s="45"/>
    </row>
    <row r="133" ht="15.75" customHeight="1">
      <c r="B133" s="45"/>
      <c r="C133" s="45"/>
    </row>
    <row r="134" ht="15.75" customHeight="1">
      <c r="B134" s="45"/>
      <c r="C134" s="45"/>
    </row>
    <row r="135" ht="15.75" customHeight="1">
      <c r="B135" s="45"/>
      <c r="C135" s="45"/>
    </row>
    <row r="136" ht="15.75" customHeight="1">
      <c r="B136" s="45"/>
      <c r="C136" s="45"/>
    </row>
    <row r="137" ht="15.75" customHeight="1">
      <c r="B137" s="45"/>
      <c r="C137" s="45"/>
    </row>
    <row r="138" ht="15.75" customHeight="1">
      <c r="B138" s="45"/>
      <c r="C138" s="45"/>
    </row>
    <row r="139" ht="15.75" customHeight="1">
      <c r="B139" s="45"/>
      <c r="C139" s="45"/>
    </row>
    <row r="140" ht="15.75" customHeight="1">
      <c r="B140" s="45"/>
      <c r="C140" s="45"/>
    </row>
    <row r="141" ht="15.75" customHeight="1">
      <c r="B141" s="45"/>
      <c r="C141" s="45"/>
    </row>
    <row r="142" ht="15.75" customHeight="1">
      <c r="B142" s="45"/>
      <c r="C142" s="45"/>
    </row>
    <row r="143" ht="15.75" customHeight="1">
      <c r="B143" s="45"/>
      <c r="C143" s="45"/>
    </row>
    <row r="144" ht="15.75" customHeight="1">
      <c r="B144" s="45"/>
      <c r="C144" s="45"/>
    </row>
    <row r="145" ht="15.75" customHeight="1">
      <c r="B145" s="45"/>
      <c r="C145" s="45"/>
    </row>
    <row r="146" ht="15.75" customHeight="1">
      <c r="B146" s="45"/>
      <c r="C146" s="45"/>
    </row>
    <row r="147" ht="15.75" customHeight="1">
      <c r="B147" s="45"/>
      <c r="C147" s="45"/>
    </row>
    <row r="148" ht="15.75" customHeight="1">
      <c r="B148" s="45"/>
      <c r="C148" s="45"/>
    </row>
    <row r="149" ht="15.75" customHeight="1">
      <c r="B149" s="45"/>
      <c r="C149" s="45"/>
    </row>
    <row r="150" ht="15.75" customHeight="1">
      <c r="B150" s="45"/>
      <c r="C150" s="45"/>
    </row>
    <row r="151" ht="15.75" customHeight="1">
      <c r="B151" s="45"/>
      <c r="C151" s="45"/>
    </row>
    <row r="152" ht="15.75" customHeight="1">
      <c r="B152" s="45"/>
      <c r="C152" s="45"/>
    </row>
    <row r="153" ht="15.75" customHeight="1">
      <c r="B153" s="45"/>
      <c r="C153" s="45"/>
    </row>
    <row r="154" ht="15.75" customHeight="1">
      <c r="B154" s="45"/>
      <c r="C154" s="45"/>
    </row>
    <row r="155" ht="15.75" customHeight="1">
      <c r="B155" s="45"/>
      <c r="C155" s="45"/>
    </row>
    <row r="156" ht="15.75" customHeight="1">
      <c r="B156" s="45"/>
      <c r="C156" s="45"/>
    </row>
    <row r="157" ht="15.75" customHeight="1">
      <c r="B157" s="45"/>
      <c r="C157" s="45"/>
    </row>
    <row r="158" ht="15.75" customHeight="1">
      <c r="B158" s="45"/>
      <c r="C158" s="45"/>
    </row>
    <row r="159" ht="15.75" customHeight="1">
      <c r="B159" s="45"/>
      <c r="C159" s="45"/>
    </row>
    <row r="160" ht="15.75" customHeight="1">
      <c r="B160" s="45"/>
      <c r="C160" s="45"/>
    </row>
    <row r="161" ht="15.75" customHeight="1">
      <c r="B161" s="45"/>
      <c r="C161" s="45"/>
    </row>
    <row r="162" ht="15.75" customHeight="1">
      <c r="B162" s="45"/>
      <c r="C162" s="45"/>
    </row>
    <row r="163" ht="15.75" customHeight="1">
      <c r="B163" s="45"/>
      <c r="C163" s="45"/>
    </row>
    <row r="164" ht="15.75" customHeight="1">
      <c r="B164" s="45"/>
      <c r="C164" s="45"/>
    </row>
    <row r="165" ht="15.75" customHeight="1">
      <c r="B165" s="45"/>
      <c r="C165" s="45"/>
    </row>
    <row r="166" ht="15.75" customHeight="1">
      <c r="B166" s="45"/>
      <c r="C166" s="45"/>
    </row>
    <row r="167" ht="15.75" customHeight="1">
      <c r="B167" s="45"/>
      <c r="C167" s="45"/>
    </row>
    <row r="168" ht="15.75" customHeight="1">
      <c r="B168" s="45"/>
      <c r="C168" s="45"/>
    </row>
    <row r="169" ht="15.75" customHeight="1">
      <c r="B169" s="45"/>
      <c r="C169" s="45"/>
    </row>
    <row r="170" ht="15.75" customHeight="1">
      <c r="B170" s="45"/>
      <c r="C170" s="45"/>
    </row>
    <row r="171" ht="15.75" customHeight="1">
      <c r="B171" s="45"/>
      <c r="C171" s="45"/>
    </row>
    <row r="172" ht="15.75" customHeight="1">
      <c r="B172" s="45"/>
      <c r="C172" s="45"/>
    </row>
    <row r="173" ht="15.75" customHeight="1">
      <c r="B173" s="45"/>
      <c r="C173" s="45"/>
    </row>
    <row r="174" ht="15.75" customHeight="1">
      <c r="B174" s="45"/>
      <c r="C174" s="45"/>
    </row>
    <row r="175" ht="15.75" customHeight="1">
      <c r="B175" s="45"/>
      <c r="C175" s="45"/>
    </row>
    <row r="176" ht="15.75" customHeight="1">
      <c r="B176" s="45"/>
      <c r="C176" s="45"/>
    </row>
    <row r="177" ht="15.75" customHeight="1">
      <c r="B177" s="45"/>
      <c r="C177" s="45"/>
    </row>
    <row r="178" ht="15.75" customHeight="1">
      <c r="B178" s="45"/>
      <c r="C178" s="45"/>
    </row>
    <row r="179" ht="15.75" customHeight="1">
      <c r="B179" s="45"/>
      <c r="C179" s="45"/>
    </row>
    <row r="180" ht="15.75" customHeight="1">
      <c r="B180" s="45"/>
      <c r="C180" s="45"/>
    </row>
    <row r="181" ht="15.75" customHeight="1">
      <c r="B181" s="45"/>
      <c r="C181" s="45"/>
    </row>
    <row r="182" ht="15.75" customHeight="1">
      <c r="B182" s="45"/>
      <c r="C182" s="45"/>
    </row>
    <row r="183" ht="15.75" customHeight="1">
      <c r="B183" s="45"/>
      <c r="C183" s="45"/>
    </row>
    <row r="184" ht="15.75" customHeight="1">
      <c r="B184" s="45"/>
      <c r="C184" s="45"/>
    </row>
    <row r="185" ht="15.75" customHeight="1">
      <c r="B185" s="45"/>
      <c r="C185" s="45"/>
    </row>
    <row r="186" ht="15.75" customHeight="1">
      <c r="B186" s="45"/>
      <c r="C186" s="45"/>
    </row>
    <row r="187" ht="15.75" customHeight="1">
      <c r="B187" s="45"/>
      <c r="C187" s="45"/>
    </row>
    <row r="188" ht="15.75" customHeight="1">
      <c r="B188" s="45"/>
      <c r="C188" s="45"/>
    </row>
    <row r="189" ht="15.75" customHeight="1">
      <c r="B189" s="45"/>
      <c r="C189" s="45"/>
    </row>
    <row r="190" ht="15.75" customHeight="1">
      <c r="B190" s="45"/>
      <c r="C190" s="45"/>
    </row>
    <row r="191" ht="15.75" customHeight="1">
      <c r="B191" s="45"/>
      <c r="C191" s="45"/>
    </row>
    <row r="192" ht="15.75" customHeight="1">
      <c r="B192" s="45"/>
      <c r="C192" s="45"/>
    </row>
    <row r="193" ht="15.75" customHeight="1">
      <c r="B193" s="45"/>
      <c r="C193" s="45"/>
    </row>
    <row r="194" ht="15.75" customHeight="1">
      <c r="B194" s="45"/>
      <c r="C194" s="45"/>
    </row>
    <row r="195" ht="15.75" customHeight="1">
      <c r="B195" s="45"/>
      <c r="C195" s="45"/>
    </row>
    <row r="196" ht="15.75" customHeight="1">
      <c r="B196" s="45"/>
      <c r="C196" s="45"/>
    </row>
    <row r="197" ht="15.75" customHeight="1">
      <c r="B197" s="45"/>
      <c r="C197" s="45"/>
    </row>
    <row r="198" ht="15.75" customHeight="1">
      <c r="B198" s="45"/>
      <c r="C198" s="45"/>
    </row>
    <row r="199" ht="15.75" customHeight="1">
      <c r="B199" s="45"/>
      <c r="C199" s="45"/>
    </row>
    <row r="200" ht="15.75" customHeight="1">
      <c r="B200" s="45"/>
      <c r="C200" s="45"/>
    </row>
    <row r="201" ht="15.75" customHeight="1">
      <c r="B201" s="45"/>
      <c r="C201" s="45"/>
    </row>
    <row r="202" ht="15.75" customHeight="1">
      <c r="B202" s="45"/>
      <c r="C202" s="45"/>
    </row>
    <row r="203" ht="15.75" customHeight="1">
      <c r="B203" s="45"/>
      <c r="C203" s="45"/>
    </row>
    <row r="204" ht="15.75" customHeight="1">
      <c r="B204" s="45"/>
      <c r="C204" s="45"/>
    </row>
    <row r="205" ht="15.75" customHeight="1">
      <c r="B205" s="45"/>
      <c r="C205" s="45"/>
    </row>
    <row r="206" ht="15.75" customHeight="1">
      <c r="B206" s="45"/>
      <c r="C206" s="45"/>
    </row>
    <row r="207" ht="15.75" customHeight="1">
      <c r="B207" s="45"/>
      <c r="C207" s="45"/>
    </row>
    <row r="208" ht="15.75" customHeight="1">
      <c r="B208" s="45"/>
      <c r="C208" s="45"/>
    </row>
    <row r="209" ht="15.75" customHeight="1">
      <c r="B209" s="45"/>
      <c r="C209" s="45"/>
    </row>
    <row r="210" ht="15.75" customHeight="1">
      <c r="B210" s="45"/>
      <c r="C210" s="45"/>
    </row>
    <row r="211" ht="15.75" customHeight="1">
      <c r="B211" s="45"/>
      <c r="C211" s="45"/>
    </row>
    <row r="212" ht="15.75" customHeight="1">
      <c r="B212" s="45"/>
      <c r="C212" s="45"/>
    </row>
    <row r="213" ht="15.75" customHeight="1">
      <c r="B213" s="45"/>
      <c r="C213" s="45"/>
    </row>
    <row r="214" ht="15.75" customHeight="1">
      <c r="B214" s="45"/>
      <c r="C214" s="45"/>
    </row>
    <row r="215" ht="15.75" customHeight="1">
      <c r="B215" s="45"/>
      <c r="C215" s="45"/>
    </row>
    <row r="216" ht="15.75" customHeight="1">
      <c r="B216" s="45"/>
      <c r="C216" s="45"/>
    </row>
    <row r="217" ht="15.75" customHeight="1">
      <c r="B217" s="45"/>
      <c r="C217" s="45"/>
    </row>
    <row r="218" ht="15.75" customHeight="1">
      <c r="B218" s="45"/>
      <c r="C218" s="45"/>
    </row>
    <row r="219" ht="15.75" customHeight="1">
      <c r="B219" s="45"/>
      <c r="C219" s="45"/>
    </row>
    <row r="220" ht="15.75" customHeight="1">
      <c r="B220" s="45"/>
      <c r="C220" s="45"/>
    </row>
    <row r="221" ht="15.75" customHeight="1">
      <c r="B221" s="45"/>
      <c r="C221" s="45"/>
    </row>
    <row r="222" ht="15.75" customHeight="1">
      <c r="B222" s="45"/>
      <c r="C222" s="45"/>
    </row>
    <row r="223" ht="15.75" customHeight="1">
      <c r="B223" s="45"/>
      <c r="C223" s="45"/>
    </row>
    <row r="224" ht="15.75" customHeight="1">
      <c r="B224" s="45"/>
      <c r="C224" s="45"/>
    </row>
    <row r="225" ht="15.75" customHeight="1">
      <c r="B225" s="45"/>
      <c r="C225" s="45"/>
    </row>
    <row r="226" ht="15.75" customHeight="1">
      <c r="B226" s="45"/>
      <c r="C226" s="45"/>
    </row>
    <row r="227" ht="15.75" customHeight="1">
      <c r="B227" s="45"/>
      <c r="C227" s="45"/>
    </row>
    <row r="228" ht="15.75" customHeight="1">
      <c r="B228" s="45"/>
      <c r="C228" s="45"/>
    </row>
    <row r="229" ht="15.75" customHeight="1">
      <c r="B229" s="45"/>
      <c r="C229" s="45"/>
    </row>
    <row r="230" ht="15.75" customHeight="1">
      <c r="B230" s="45"/>
      <c r="C230" s="45"/>
    </row>
    <row r="231" ht="15.75" customHeight="1">
      <c r="B231" s="45"/>
      <c r="C231" s="45"/>
    </row>
    <row r="232" ht="15.75" customHeight="1">
      <c r="B232" s="45"/>
      <c r="C232" s="45"/>
    </row>
    <row r="233" ht="15.75" customHeight="1">
      <c r="B233" s="45"/>
      <c r="C233" s="45"/>
    </row>
    <row r="234" ht="15.75" customHeight="1">
      <c r="B234" s="45"/>
      <c r="C234" s="45"/>
    </row>
    <row r="235" ht="15.75" customHeight="1">
      <c r="B235" s="45"/>
      <c r="C235" s="45"/>
    </row>
    <row r="236" ht="15.75" customHeight="1">
      <c r="B236" s="45"/>
      <c r="C236" s="45"/>
    </row>
    <row r="237" ht="15.75" customHeight="1">
      <c r="B237" s="45"/>
      <c r="C237" s="45"/>
    </row>
    <row r="238" ht="15.75" customHeight="1">
      <c r="B238" s="45"/>
      <c r="C238" s="45"/>
    </row>
    <row r="239" ht="15.75" customHeight="1">
      <c r="B239" s="45"/>
      <c r="C239" s="45"/>
    </row>
    <row r="240" ht="15.75" customHeight="1">
      <c r="B240" s="45"/>
      <c r="C240" s="45"/>
    </row>
    <row r="241" ht="15.75" customHeight="1">
      <c r="B241" s="45"/>
      <c r="C241" s="45"/>
    </row>
    <row r="242" ht="15.75" customHeight="1">
      <c r="B242" s="45"/>
      <c r="C242" s="45"/>
    </row>
    <row r="243" ht="15.75" customHeight="1">
      <c r="B243" s="45"/>
      <c r="C243" s="45"/>
    </row>
    <row r="244" ht="15.75" customHeight="1">
      <c r="B244" s="45"/>
      <c r="C244" s="45"/>
    </row>
    <row r="245" ht="15.75" customHeight="1">
      <c r="B245" s="45"/>
      <c r="C245" s="45"/>
    </row>
    <row r="246" ht="15.75" customHeight="1">
      <c r="B246" s="45"/>
      <c r="C246" s="45"/>
    </row>
    <row r="247" ht="15.75" customHeight="1">
      <c r="B247" s="45"/>
      <c r="C247" s="45"/>
    </row>
    <row r="248" ht="15.75" customHeight="1">
      <c r="B248" s="45"/>
      <c r="C248" s="45"/>
    </row>
    <row r="249" ht="15.75" customHeight="1">
      <c r="B249" s="45"/>
      <c r="C249" s="45"/>
    </row>
    <row r="250" ht="15.75" customHeight="1">
      <c r="B250" s="45"/>
      <c r="C250" s="45"/>
    </row>
    <row r="251" ht="15.75" customHeight="1">
      <c r="B251" s="45"/>
      <c r="C251" s="45"/>
    </row>
    <row r="252" ht="15.75" customHeight="1">
      <c r="B252" s="45"/>
      <c r="C252" s="45"/>
    </row>
    <row r="253" ht="15.75" customHeight="1">
      <c r="B253" s="45"/>
      <c r="C253" s="45"/>
    </row>
    <row r="254" ht="15.75" customHeight="1">
      <c r="B254" s="45"/>
      <c r="C254" s="45"/>
    </row>
    <row r="255" ht="15.75" customHeight="1">
      <c r="B255" s="45"/>
      <c r="C255" s="45"/>
    </row>
    <row r="256" ht="15.75" customHeight="1">
      <c r="B256" s="45"/>
      <c r="C256" s="45"/>
    </row>
    <row r="257" ht="15.75" customHeight="1">
      <c r="B257" s="45"/>
      <c r="C257" s="45"/>
    </row>
    <row r="258" ht="15.75" customHeight="1">
      <c r="B258" s="45"/>
      <c r="C258" s="45"/>
    </row>
    <row r="259" ht="15.75" customHeight="1">
      <c r="B259" s="45"/>
      <c r="C259" s="45"/>
    </row>
    <row r="260" ht="15.75" customHeight="1">
      <c r="B260" s="45"/>
      <c r="C260" s="45"/>
    </row>
    <row r="261" ht="15.75" customHeight="1">
      <c r="B261" s="45"/>
      <c r="C261" s="45"/>
    </row>
    <row r="262" ht="15.75" customHeight="1">
      <c r="B262" s="45"/>
      <c r="C262" s="45"/>
    </row>
    <row r="263" ht="15.75" customHeight="1">
      <c r="B263" s="45"/>
      <c r="C263" s="45"/>
    </row>
    <row r="264" ht="15.75" customHeight="1">
      <c r="B264" s="45"/>
      <c r="C264" s="45"/>
    </row>
    <row r="265" ht="15.75" customHeight="1">
      <c r="B265" s="45"/>
      <c r="C265" s="45"/>
    </row>
    <row r="266" ht="15.75" customHeight="1">
      <c r="B266" s="45"/>
      <c r="C266" s="45"/>
    </row>
    <row r="267" ht="15.75" customHeight="1">
      <c r="B267" s="45"/>
      <c r="C267" s="45"/>
    </row>
    <row r="268" ht="15.75" customHeight="1">
      <c r="B268" s="45"/>
      <c r="C268" s="45"/>
    </row>
    <row r="269" ht="15.75" customHeight="1">
      <c r="B269" s="45"/>
      <c r="C269" s="45"/>
    </row>
    <row r="270" ht="15.75" customHeight="1">
      <c r="B270" s="45"/>
      <c r="C270" s="45"/>
    </row>
    <row r="271" ht="15.75" customHeight="1">
      <c r="B271" s="45"/>
      <c r="C271" s="45"/>
    </row>
    <row r="272" ht="15.75" customHeight="1">
      <c r="B272" s="45"/>
      <c r="C272" s="45"/>
    </row>
    <row r="273" ht="15.75" customHeight="1">
      <c r="B273" s="45"/>
      <c r="C273" s="45"/>
    </row>
    <row r="274" ht="15.75" customHeight="1">
      <c r="B274" s="45"/>
      <c r="C274" s="45"/>
    </row>
    <row r="275" ht="15.75" customHeight="1">
      <c r="B275" s="45"/>
      <c r="C275" s="45"/>
    </row>
    <row r="276" ht="15.75" customHeight="1">
      <c r="B276" s="45"/>
      <c r="C276" s="45"/>
    </row>
    <row r="277" ht="15.75" customHeight="1">
      <c r="B277" s="45"/>
      <c r="C277" s="45"/>
    </row>
    <row r="278" ht="15.75" customHeight="1">
      <c r="B278" s="45"/>
      <c r="C278" s="45"/>
    </row>
    <row r="279" ht="15.75" customHeight="1">
      <c r="B279" s="45"/>
      <c r="C279" s="45"/>
    </row>
    <row r="280" ht="15.75" customHeight="1">
      <c r="B280" s="45"/>
      <c r="C280" s="45"/>
    </row>
    <row r="281" ht="15.75" customHeight="1">
      <c r="B281" s="45"/>
      <c r="C281" s="45"/>
    </row>
    <row r="282" ht="15.75" customHeight="1">
      <c r="B282" s="45"/>
      <c r="C282" s="45"/>
    </row>
    <row r="283" ht="15.75" customHeight="1">
      <c r="B283" s="45"/>
      <c r="C283" s="45"/>
    </row>
    <row r="284" ht="15.75" customHeight="1">
      <c r="B284" s="45"/>
      <c r="C284" s="45"/>
    </row>
    <row r="285" ht="15.75" customHeight="1">
      <c r="B285" s="45"/>
      <c r="C285" s="45"/>
    </row>
    <row r="286" ht="15.75" customHeight="1">
      <c r="B286" s="45"/>
      <c r="C286" s="45"/>
    </row>
    <row r="287" ht="15.75" customHeight="1">
      <c r="B287" s="45"/>
      <c r="C287" s="45"/>
    </row>
    <row r="288" ht="15.75" customHeight="1">
      <c r="B288" s="45"/>
      <c r="C288" s="45"/>
    </row>
    <row r="289" ht="15.75" customHeight="1">
      <c r="B289" s="45"/>
      <c r="C289" s="45"/>
    </row>
    <row r="290" ht="15.75" customHeight="1">
      <c r="B290" s="45"/>
      <c r="C290" s="45"/>
    </row>
    <row r="291" ht="15.75" customHeight="1">
      <c r="B291" s="45"/>
      <c r="C291" s="45"/>
    </row>
    <row r="292" ht="15.75" customHeight="1">
      <c r="B292" s="45"/>
      <c r="C292" s="45"/>
    </row>
    <row r="293" ht="15.75" customHeight="1">
      <c r="B293" s="45"/>
      <c r="C293" s="45"/>
    </row>
    <row r="294" ht="15.75" customHeight="1">
      <c r="B294" s="45"/>
      <c r="C294" s="45"/>
    </row>
    <row r="295" ht="15.75" customHeight="1">
      <c r="B295" s="45"/>
      <c r="C295" s="45"/>
    </row>
    <row r="296" ht="15.75" customHeight="1">
      <c r="B296" s="45"/>
      <c r="C296" s="45"/>
    </row>
    <row r="297" ht="15.75" customHeight="1">
      <c r="B297" s="45"/>
      <c r="C297" s="45"/>
    </row>
    <row r="298" ht="15.75" customHeight="1">
      <c r="B298" s="45"/>
      <c r="C298" s="45"/>
    </row>
    <row r="299" ht="15.75" customHeight="1">
      <c r="B299" s="45"/>
      <c r="C299" s="45"/>
    </row>
    <row r="300" ht="15.75" customHeight="1">
      <c r="B300" s="45"/>
      <c r="C300" s="45"/>
    </row>
    <row r="301" ht="15.75" customHeight="1">
      <c r="B301" s="45"/>
      <c r="C301" s="45"/>
    </row>
    <row r="302" ht="15.75" customHeight="1">
      <c r="B302" s="45"/>
      <c r="C302" s="45"/>
    </row>
    <row r="303" ht="15.75" customHeight="1">
      <c r="B303" s="45"/>
      <c r="C303" s="45"/>
    </row>
    <row r="304" ht="15.75" customHeight="1">
      <c r="B304" s="45"/>
      <c r="C304" s="45"/>
    </row>
    <row r="305" ht="15.75" customHeight="1">
      <c r="B305" s="45"/>
      <c r="C305" s="45"/>
    </row>
    <row r="306" ht="15.75" customHeight="1">
      <c r="B306" s="45"/>
      <c r="C306" s="45"/>
    </row>
    <row r="307" ht="15.75" customHeight="1">
      <c r="B307" s="45"/>
      <c r="C307" s="45"/>
    </row>
    <row r="308" ht="15.75" customHeight="1">
      <c r="B308" s="45"/>
      <c r="C308" s="45"/>
    </row>
    <row r="309" ht="15.75" customHeight="1">
      <c r="B309" s="45"/>
      <c r="C309" s="45"/>
    </row>
    <row r="310" ht="15.75" customHeight="1">
      <c r="B310" s="45"/>
      <c r="C310" s="45"/>
    </row>
    <row r="311" ht="15.75" customHeight="1">
      <c r="B311" s="45"/>
      <c r="C311" s="45"/>
    </row>
    <row r="312" ht="15.75" customHeight="1">
      <c r="B312" s="45"/>
      <c r="C312" s="45"/>
    </row>
    <row r="313" ht="15.75" customHeight="1">
      <c r="B313" s="45"/>
      <c r="C313" s="45"/>
    </row>
    <row r="314" ht="15.75" customHeight="1">
      <c r="B314" s="45"/>
      <c r="C314" s="45"/>
    </row>
    <row r="315" ht="15.75" customHeight="1">
      <c r="B315" s="45"/>
      <c r="C315" s="45"/>
    </row>
    <row r="316" ht="15.75" customHeight="1">
      <c r="B316" s="45"/>
      <c r="C316" s="45"/>
    </row>
    <row r="317" ht="15.75" customHeight="1">
      <c r="B317" s="45"/>
      <c r="C317" s="45"/>
    </row>
    <row r="318" ht="15.75" customHeight="1">
      <c r="B318" s="45"/>
      <c r="C318" s="45"/>
    </row>
    <row r="319" ht="15.75" customHeight="1">
      <c r="B319" s="45"/>
      <c r="C319" s="45"/>
    </row>
    <row r="320" ht="15.75" customHeight="1">
      <c r="B320" s="45"/>
      <c r="C320" s="45"/>
    </row>
    <row r="321" ht="15.75" customHeight="1">
      <c r="B321" s="45"/>
      <c r="C321" s="45"/>
    </row>
    <row r="322" ht="15.75" customHeight="1">
      <c r="B322" s="45"/>
      <c r="C322" s="45"/>
    </row>
    <row r="323" ht="15.75" customHeight="1">
      <c r="B323" s="45"/>
      <c r="C323" s="45"/>
    </row>
    <row r="324" ht="15.75" customHeight="1">
      <c r="B324" s="45"/>
      <c r="C324" s="45"/>
    </row>
    <row r="325" ht="15.75" customHeight="1">
      <c r="B325" s="45"/>
      <c r="C325" s="45"/>
    </row>
    <row r="326" ht="15.75" customHeight="1">
      <c r="B326" s="45"/>
      <c r="C326" s="45"/>
    </row>
    <row r="327" ht="15.75" customHeight="1">
      <c r="B327" s="45"/>
      <c r="C327" s="45"/>
    </row>
    <row r="328" ht="15.75" customHeight="1">
      <c r="B328" s="45"/>
      <c r="C328" s="45"/>
    </row>
    <row r="329" ht="15.75" customHeight="1">
      <c r="B329" s="45"/>
      <c r="C329" s="45"/>
    </row>
    <row r="330" ht="15.75" customHeight="1">
      <c r="B330" s="45"/>
      <c r="C330" s="45"/>
    </row>
    <row r="331" ht="15.75" customHeight="1">
      <c r="B331" s="45"/>
      <c r="C331" s="45"/>
    </row>
    <row r="332" ht="15.75" customHeight="1">
      <c r="B332" s="45"/>
      <c r="C332" s="45"/>
    </row>
    <row r="333" ht="15.75" customHeight="1">
      <c r="B333" s="45"/>
      <c r="C333" s="45"/>
    </row>
    <row r="334" ht="15.75" customHeight="1">
      <c r="B334" s="45"/>
      <c r="C334" s="45"/>
    </row>
    <row r="335" ht="15.75" customHeight="1">
      <c r="B335" s="45"/>
      <c r="C335" s="45"/>
    </row>
    <row r="336" ht="15.75" customHeight="1">
      <c r="B336" s="45"/>
      <c r="C336" s="45"/>
    </row>
    <row r="337" ht="15.75" customHeight="1">
      <c r="B337" s="45"/>
      <c r="C337" s="45"/>
    </row>
    <row r="338" ht="15.75" customHeight="1">
      <c r="B338" s="45"/>
      <c r="C338" s="45"/>
    </row>
    <row r="339" ht="15.75" customHeight="1">
      <c r="B339" s="45"/>
      <c r="C339" s="45"/>
    </row>
    <row r="340" ht="15.75" customHeight="1">
      <c r="B340" s="45"/>
      <c r="C340" s="45"/>
    </row>
    <row r="341" ht="15.75" customHeight="1">
      <c r="B341" s="45"/>
      <c r="C341" s="45"/>
    </row>
    <row r="342" ht="15.75" customHeight="1">
      <c r="B342" s="45"/>
      <c r="C342" s="45"/>
    </row>
    <row r="343" ht="15.75" customHeight="1">
      <c r="B343" s="45"/>
      <c r="C343" s="45"/>
    </row>
    <row r="344" ht="15.75" customHeight="1">
      <c r="B344" s="45"/>
      <c r="C344" s="45"/>
    </row>
    <row r="345" ht="15.75" customHeight="1">
      <c r="B345" s="45"/>
      <c r="C345" s="45"/>
    </row>
    <row r="346" ht="15.75" customHeight="1">
      <c r="B346" s="45"/>
      <c r="C346" s="45"/>
    </row>
    <row r="347" ht="15.75" customHeight="1">
      <c r="B347" s="45"/>
      <c r="C347" s="45"/>
    </row>
    <row r="348" ht="15.75" customHeight="1">
      <c r="B348" s="45"/>
      <c r="C348" s="45"/>
    </row>
    <row r="349" ht="15.75" customHeight="1">
      <c r="B349" s="45"/>
      <c r="C349" s="45"/>
    </row>
    <row r="350" ht="15.75" customHeight="1">
      <c r="B350" s="45"/>
      <c r="C350" s="45"/>
    </row>
    <row r="351" ht="15.75" customHeight="1">
      <c r="B351" s="45"/>
      <c r="C351" s="45"/>
    </row>
    <row r="352" ht="15.75" customHeight="1">
      <c r="B352" s="45"/>
      <c r="C352" s="45"/>
    </row>
    <row r="353" ht="15.75" customHeight="1">
      <c r="B353" s="45"/>
      <c r="C353" s="45"/>
    </row>
    <row r="354" ht="15.75" customHeight="1">
      <c r="B354" s="45"/>
      <c r="C354" s="45"/>
    </row>
    <row r="355" ht="15.75" customHeight="1">
      <c r="B355" s="45"/>
      <c r="C355" s="45"/>
    </row>
    <row r="356" ht="15.75" customHeight="1">
      <c r="B356" s="45"/>
      <c r="C356" s="45"/>
    </row>
    <row r="357" ht="15.75" customHeight="1">
      <c r="B357" s="45"/>
      <c r="C357" s="45"/>
    </row>
    <row r="358" ht="15.75" customHeight="1">
      <c r="B358" s="45"/>
      <c r="C358" s="45"/>
    </row>
    <row r="359" ht="15.75" customHeight="1">
      <c r="B359" s="45"/>
      <c r="C359" s="45"/>
    </row>
    <row r="360" ht="15.75" customHeight="1">
      <c r="B360" s="45"/>
      <c r="C360" s="45"/>
    </row>
    <row r="361" ht="15.75" customHeight="1">
      <c r="B361" s="45"/>
      <c r="C361" s="45"/>
    </row>
    <row r="362" ht="15.75" customHeight="1">
      <c r="B362" s="45"/>
      <c r="C362" s="45"/>
    </row>
    <row r="363" ht="15.75" customHeight="1">
      <c r="B363" s="45"/>
      <c r="C363" s="45"/>
    </row>
    <row r="364" ht="15.75" customHeight="1">
      <c r="B364" s="45"/>
      <c r="C364" s="45"/>
    </row>
    <row r="365" ht="15.75" customHeight="1">
      <c r="B365" s="45"/>
      <c r="C365" s="45"/>
    </row>
    <row r="366" ht="15.75" customHeight="1">
      <c r="B366" s="45"/>
      <c r="C366" s="45"/>
    </row>
    <row r="367" ht="15.75" customHeight="1">
      <c r="B367" s="45"/>
      <c r="C367" s="45"/>
    </row>
    <row r="368" ht="15.75" customHeight="1">
      <c r="B368" s="45"/>
      <c r="C368" s="45"/>
    </row>
    <row r="369" ht="15.75" customHeight="1">
      <c r="B369" s="45"/>
      <c r="C369" s="45"/>
    </row>
    <row r="370" ht="15.75" customHeight="1">
      <c r="B370" s="45"/>
      <c r="C370" s="45"/>
    </row>
    <row r="371" ht="15.75" customHeight="1">
      <c r="B371" s="45"/>
      <c r="C371" s="45"/>
    </row>
    <row r="372" ht="15.75" customHeight="1">
      <c r="B372" s="45"/>
      <c r="C372" s="45"/>
    </row>
    <row r="373" ht="15.75" customHeight="1">
      <c r="B373" s="45"/>
      <c r="C373" s="45"/>
    </row>
    <row r="374" ht="15.75" customHeight="1">
      <c r="B374" s="45"/>
      <c r="C374" s="45"/>
    </row>
    <row r="375" ht="15.75" customHeight="1">
      <c r="B375" s="45"/>
      <c r="C375" s="45"/>
    </row>
    <row r="376" ht="15.75" customHeight="1">
      <c r="B376" s="45"/>
      <c r="C376" s="45"/>
    </row>
    <row r="377" ht="15.75" customHeight="1">
      <c r="B377" s="45"/>
      <c r="C377" s="45"/>
    </row>
    <row r="378" ht="15.75" customHeight="1">
      <c r="B378" s="45"/>
      <c r="C378" s="45"/>
    </row>
    <row r="379" ht="15.75" customHeight="1">
      <c r="B379" s="45"/>
      <c r="C379" s="45"/>
    </row>
    <row r="380" ht="15.75" customHeight="1">
      <c r="B380" s="45"/>
      <c r="C380" s="45"/>
    </row>
    <row r="381" ht="15.75" customHeight="1">
      <c r="B381" s="45"/>
      <c r="C381" s="45"/>
    </row>
    <row r="382" ht="15.75" customHeight="1">
      <c r="B382" s="45"/>
      <c r="C382" s="45"/>
    </row>
    <row r="383" ht="15.75" customHeight="1">
      <c r="B383" s="45"/>
      <c r="C383" s="45"/>
    </row>
    <row r="384" ht="15.75" customHeight="1">
      <c r="B384" s="45"/>
      <c r="C384" s="45"/>
    </row>
    <row r="385" ht="15.75" customHeight="1">
      <c r="B385" s="45"/>
      <c r="C385" s="45"/>
    </row>
    <row r="386" ht="15.75" customHeight="1">
      <c r="B386" s="45"/>
      <c r="C386" s="45"/>
    </row>
    <row r="387" ht="15.75" customHeight="1">
      <c r="B387" s="45"/>
      <c r="C387" s="45"/>
    </row>
    <row r="388" ht="15.75" customHeight="1">
      <c r="B388" s="45"/>
      <c r="C388" s="45"/>
    </row>
    <row r="389" ht="15.75" customHeight="1">
      <c r="B389" s="45"/>
      <c r="C389" s="45"/>
    </row>
    <row r="390" ht="15.75" customHeight="1">
      <c r="B390" s="45"/>
      <c r="C390" s="45"/>
    </row>
    <row r="391" ht="15.75" customHeight="1">
      <c r="B391" s="45"/>
      <c r="C391" s="45"/>
    </row>
    <row r="392" ht="15.75" customHeight="1">
      <c r="B392" s="45"/>
      <c r="C392" s="45"/>
    </row>
    <row r="393" ht="15.75" customHeight="1">
      <c r="B393" s="45"/>
      <c r="C393" s="45"/>
    </row>
    <row r="394" ht="15.75" customHeight="1">
      <c r="B394" s="45"/>
      <c r="C394" s="45"/>
    </row>
    <row r="395" ht="15.75" customHeight="1">
      <c r="B395" s="45"/>
      <c r="C395" s="45"/>
    </row>
    <row r="396" ht="15.75" customHeight="1">
      <c r="B396" s="45"/>
      <c r="C396" s="45"/>
    </row>
    <row r="397" ht="15.75" customHeight="1">
      <c r="B397" s="45"/>
      <c r="C397" s="45"/>
    </row>
    <row r="398" ht="15.75" customHeight="1">
      <c r="B398" s="45"/>
      <c r="C398" s="45"/>
    </row>
    <row r="399" ht="15.75" customHeight="1">
      <c r="B399" s="45"/>
      <c r="C399" s="45"/>
    </row>
    <row r="400" ht="15.75" customHeight="1">
      <c r="B400" s="45"/>
      <c r="C400" s="45"/>
    </row>
    <row r="401" ht="15.75" customHeight="1">
      <c r="B401" s="45"/>
      <c r="C401" s="45"/>
    </row>
    <row r="402" ht="15.75" customHeight="1">
      <c r="B402" s="45"/>
      <c r="C402" s="45"/>
    </row>
    <row r="403" ht="15.75" customHeight="1">
      <c r="B403" s="45"/>
      <c r="C403" s="45"/>
    </row>
    <row r="404" ht="15.75" customHeight="1">
      <c r="B404" s="45"/>
      <c r="C404" s="45"/>
    </row>
    <row r="405" ht="15.75" customHeight="1">
      <c r="B405" s="45"/>
      <c r="C405" s="45"/>
    </row>
    <row r="406" ht="15.75" customHeight="1">
      <c r="B406" s="45"/>
      <c r="C406" s="45"/>
    </row>
    <row r="407" ht="15.75" customHeight="1">
      <c r="B407" s="45"/>
      <c r="C407" s="45"/>
    </row>
    <row r="408" ht="15.75" customHeight="1">
      <c r="B408" s="45"/>
      <c r="C408" s="45"/>
    </row>
    <row r="409" ht="15.75" customHeight="1">
      <c r="B409" s="45"/>
      <c r="C409" s="45"/>
    </row>
    <row r="410" ht="15.75" customHeight="1">
      <c r="B410" s="45"/>
      <c r="C410" s="45"/>
    </row>
    <row r="411" ht="15.75" customHeight="1">
      <c r="B411" s="45"/>
      <c r="C411" s="45"/>
    </row>
    <row r="412" ht="15.75" customHeight="1">
      <c r="B412" s="45"/>
      <c r="C412" s="45"/>
    </row>
    <row r="413" ht="15.75" customHeight="1">
      <c r="B413" s="45"/>
      <c r="C413" s="45"/>
    </row>
    <row r="414" ht="15.75" customHeight="1">
      <c r="B414" s="45"/>
      <c r="C414" s="45"/>
    </row>
    <row r="415" ht="15.75" customHeight="1">
      <c r="B415" s="45"/>
      <c r="C415" s="45"/>
    </row>
    <row r="416" ht="15.75" customHeight="1">
      <c r="B416" s="45"/>
      <c r="C416" s="45"/>
    </row>
    <row r="417" ht="15.75" customHeight="1">
      <c r="B417" s="45"/>
      <c r="C417" s="45"/>
    </row>
    <row r="418" ht="15.75" customHeight="1">
      <c r="B418" s="45"/>
      <c r="C418" s="45"/>
    </row>
    <row r="419" ht="15.75" customHeight="1">
      <c r="B419" s="45"/>
      <c r="C419" s="45"/>
    </row>
    <row r="420" ht="15.75" customHeight="1">
      <c r="B420" s="45"/>
      <c r="C420" s="45"/>
    </row>
    <row r="421" ht="15.75" customHeight="1">
      <c r="B421" s="45"/>
      <c r="C421" s="45"/>
    </row>
    <row r="422" ht="15.75" customHeight="1">
      <c r="B422" s="45"/>
      <c r="C422" s="45"/>
    </row>
    <row r="423" ht="15.75" customHeight="1">
      <c r="B423" s="45"/>
      <c r="C423" s="45"/>
    </row>
    <row r="424" ht="15.75" customHeight="1">
      <c r="B424" s="45"/>
      <c r="C424" s="45"/>
    </row>
    <row r="425" ht="15.75" customHeight="1">
      <c r="B425" s="45"/>
      <c r="C425" s="45"/>
    </row>
    <row r="426" ht="15.75" customHeight="1">
      <c r="B426" s="45"/>
      <c r="C426" s="45"/>
    </row>
    <row r="427" ht="15.75" customHeight="1">
      <c r="B427" s="45"/>
      <c r="C427" s="45"/>
    </row>
    <row r="428" ht="15.75" customHeight="1">
      <c r="B428" s="45"/>
      <c r="C428" s="45"/>
    </row>
    <row r="429" ht="15.75" customHeight="1">
      <c r="B429" s="45"/>
      <c r="C429" s="45"/>
    </row>
    <row r="430" ht="15.75" customHeight="1">
      <c r="B430" s="45"/>
      <c r="C430" s="45"/>
    </row>
    <row r="431" ht="15.75" customHeight="1">
      <c r="B431" s="45"/>
      <c r="C431" s="45"/>
    </row>
    <row r="432" ht="15.75" customHeight="1">
      <c r="B432" s="45"/>
      <c r="C432" s="45"/>
    </row>
    <row r="433" ht="15.75" customHeight="1">
      <c r="B433" s="45"/>
      <c r="C433" s="45"/>
    </row>
    <row r="434" ht="15.75" customHeight="1">
      <c r="B434" s="45"/>
      <c r="C434" s="45"/>
    </row>
    <row r="435" ht="15.75" customHeight="1">
      <c r="B435" s="45"/>
      <c r="C435" s="45"/>
    </row>
    <row r="436" ht="15.75" customHeight="1">
      <c r="B436" s="45"/>
      <c r="C436" s="45"/>
    </row>
    <row r="437" ht="15.75" customHeight="1">
      <c r="B437" s="45"/>
      <c r="C437" s="45"/>
    </row>
    <row r="438" ht="15.75" customHeight="1">
      <c r="B438" s="45"/>
      <c r="C438" s="45"/>
    </row>
    <row r="439" ht="15.75" customHeight="1">
      <c r="B439" s="45"/>
      <c r="C439" s="45"/>
    </row>
    <row r="440" ht="15.75" customHeight="1">
      <c r="B440" s="45"/>
      <c r="C440" s="45"/>
    </row>
    <row r="441" ht="15.75" customHeight="1">
      <c r="B441" s="45"/>
      <c r="C441" s="45"/>
    </row>
    <row r="442" ht="15.75" customHeight="1">
      <c r="B442" s="45"/>
      <c r="C442" s="45"/>
    </row>
    <row r="443" ht="15.75" customHeight="1">
      <c r="B443" s="45"/>
      <c r="C443" s="45"/>
    </row>
    <row r="444" ht="15.75" customHeight="1">
      <c r="B444" s="45"/>
      <c r="C444" s="45"/>
    </row>
    <row r="445" ht="15.75" customHeight="1">
      <c r="B445" s="45"/>
      <c r="C445" s="45"/>
    </row>
    <row r="446" ht="15.75" customHeight="1">
      <c r="B446" s="45"/>
      <c r="C446" s="45"/>
    </row>
    <row r="447" ht="15.75" customHeight="1">
      <c r="B447" s="45"/>
      <c r="C447" s="45"/>
    </row>
    <row r="448" ht="15.75" customHeight="1">
      <c r="B448" s="45"/>
      <c r="C448" s="45"/>
    </row>
    <row r="449" ht="15.75" customHeight="1">
      <c r="B449" s="45"/>
      <c r="C449" s="45"/>
    </row>
    <row r="450" ht="15.75" customHeight="1">
      <c r="B450" s="45"/>
      <c r="C450" s="45"/>
    </row>
    <row r="451" ht="15.75" customHeight="1">
      <c r="B451" s="45"/>
      <c r="C451" s="45"/>
    </row>
    <row r="452" ht="15.75" customHeight="1">
      <c r="B452" s="45"/>
      <c r="C452" s="45"/>
    </row>
    <row r="453" ht="15.75" customHeight="1">
      <c r="B453" s="45"/>
      <c r="C453" s="45"/>
    </row>
    <row r="454" ht="15.75" customHeight="1">
      <c r="B454" s="45"/>
      <c r="C454" s="45"/>
    </row>
    <row r="455" ht="15.75" customHeight="1">
      <c r="B455" s="45"/>
      <c r="C455" s="45"/>
    </row>
    <row r="456" ht="15.75" customHeight="1">
      <c r="B456" s="45"/>
      <c r="C456" s="45"/>
    </row>
    <row r="457" ht="15.75" customHeight="1">
      <c r="B457" s="45"/>
      <c r="C457" s="45"/>
    </row>
    <row r="458" ht="15.75" customHeight="1">
      <c r="B458" s="45"/>
      <c r="C458" s="45"/>
    </row>
    <row r="459" ht="15.75" customHeight="1">
      <c r="B459" s="45"/>
      <c r="C459" s="45"/>
    </row>
    <row r="460" ht="15.75" customHeight="1">
      <c r="B460" s="45"/>
      <c r="C460" s="45"/>
    </row>
    <row r="461" ht="15.75" customHeight="1">
      <c r="B461" s="45"/>
      <c r="C461" s="45"/>
    </row>
    <row r="462" ht="15.75" customHeight="1">
      <c r="B462" s="45"/>
      <c r="C462" s="45"/>
    </row>
    <row r="463" ht="15.75" customHeight="1">
      <c r="B463" s="45"/>
      <c r="C463" s="45"/>
    </row>
    <row r="464" ht="15.75" customHeight="1">
      <c r="B464" s="45"/>
      <c r="C464" s="45"/>
    </row>
    <row r="465" ht="15.75" customHeight="1">
      <c r="B465" s="45"/>
      <c r="C465" s="45"/>
    </row>
    <row r="466" ht="15.75" customHeight="1">
      <c r="B466" s="45"/>
      <c r="C466" s="45"/>
    </row>
    <row r="467" ht="15.75" customHeight="1">
      <c r="B467" s="45"/>
      <c r="C467" s="45"/>
    </row>
    <row r="468" ht="15.75" customHeight="1">
      <c r="B468" s="45"/>
      <c r="C468" s="45"/>
    </row>
    <row r="469" ht="15.75" customHeight="1">
      <c r="B469" s="45"/>
      <c r="C469" s="45"/>
    </row>
    <row r="470" ht="15.75" customHeight="1">
      <c r="B470" s="45"/>
      <c r="C470" s="45"/>
    </row>
    <row r="471" ht="15.75" customHeight="1">
      <c r="B471" s="45"/>
      <c r="C471" s="45"/>
    </row>
    <row r="472" ht="15.75" customHeight="1">
      <c r="B472" s="45"/>
      <c r="C472" s="45"/>
    </row>
    <row r="473" ht="15.75" customHeight="1">
      <c r="B473" s="45"/>
      <c r="C473" s="45"/>
    </row>
    <row r="474" ht="15.75" customHeight="1">
      <c r="B474" s="45"/>
      <c r="C474" s="45"/>
    </row>
    <row r="475" ht="15.75" customHeight="1">
      <c r="B475" s="45"/>
      <c r="C475" s="45"/>
    </row>
    <row r="476" ht="15.75" customHeight="1">
      <c r="B476" s="45"/>
      <c r="C476" s="45"/>
    </row>
    <row r="477" ht="15.75" customHeight="1">
      <c r="B477" s="45"/>
      <c r="C477" s="45"/>
    </row>
    <row r="478" ht="15.75" customHeight="1">
      <c r="B478" s="45"/>
      <c r="C478" s="45"/>
    </row>
    <row r="479" ht="15.75" customHeight="1">
      <c r="B479" s="45"/>
      <c r="C479" s="45"/>
    </row>
    <row r="480" ht="15.75" customHeight="1">
      <c r="B480" s="45"/>
      <c r="C480" s="45"/>
    </row>
    <row r="481" ht="15.75" customHeight="1">
      <c r="B481" s="45"/>
      <c r="C481" s="45"/>
    </row>
    <row r="482" ht="15.75" customHeight="1">
      <c r="B482" s="45"/>
      <c r="C482" s="45"/>
    </row>
    <row r="483" ht="15.75" customHeight="1">
      <c r="B483" s="45"/>
      <c r="C483" s="45"/>
    </row>
    <row r="484" ht="15.75" customHeight="1">
      <c r="B484" s="45"/>
      <c r="C484" s="45"/>
    </row>
    <row r="485" ht="15.75" customHeight="1">
      <c r="B485" s="45"/>
      <c r="C485" s="45"/>
    </row>
    <row r="486" ht="15.75" customHeight="1">
      <c r="B486" s="45"/>
      <c r="C486" s="45"/>
    </row>
    <row r="487" ht="15.75" customHeight="1">
      <c r="B487" s="45"/>
      <c r="C487" s="45"/>
    </row>
    <row r="488" ht="15.75" customHeight="1">
      <c r="B488" s="45"/>
      <c r="C488" s="45"/>
    </row>
    <row r="489" ht="15.75" customHeight="1">
      <c r="B489" s="45"/>
      <c r="C489" s="45"/>
    </row>
    <row r="490" ht="15.75" customHeight="1">
      <c r="B490" s="45"/>
      <c r="C490" s="45"/>
    </row>
    <row r="491" ht="15.75" customHeight="1">
      <c r="B491" s="45"/>
      <c r="C491" s="45"/>
    </row>
    <row r="492" ht="15.75" customHeight="1">
      <c r="B492" s="45"/>
      <c r="C492" s="45"/>
    </row>
    <row r="493" ht="15.75" customHeight="1">
      <c r="B493" s="45"/>
      <c r="C493" s="45"/>
    </row>
    <row r="494" ht="15.75" customHeight="1">
      <c r="B494" s="45"/>
      <c r="C494" s="45"/>
    </row>
    <row r="495" ht="15.75" customHeight="1">
      <c r="B495" s="45"/>
      <c r="C495" s="45"/>
    </row>
    <row r="496" ht="15.75" customHeight="1">
      <c r="B496" s="45"/>
      <c r="C496" s="45"/>
    </row>
    <row r="497" ht="15.75" customHeight="1">
      <c r="B497" s="45"/>
      <c r="C497" s="45"/>
    </row>
    <row r="498" ht="15.75" customHeight="1">
      <c r="B498" s="45"/>
      <c r="C498" s="45"/>
    </row>
    <row r="499" ht="15.75" customHeight="1">
      <c r="B499" s="45"/>
      <c r="C499" s="45"/>
    </row>
    <row r="500" ht="15.75" customHeight="1">
      <c r="B500" s="45"/>
      <c r="C500" s="45"/>
    </row>
    <row r="501" ht="15.75" customHeight="1">
      <c r="B501" s="45"/>
      <c r="C501" s="45"/>
    </row>
    <row r="502" ht="15.75" customHeight="1">
      <c r="B502" s="45"/>
      <c r="C502" s="45"/>
    </row>
    <row r="503" ht="15.75" customHeight="1">
      <c r="B503" s="45"/>
      <c r="C503" s="45"/>
    </row>
    <row r="504" ht="15.75" customHeight="1">
      <c r="B504" s="45"/>
      <c r="C504" s="45"/>
    </row>
    <row r="505" ht="15.75" customHeight="1">
      <c r="B505" s="45"/>
      <c r="C505" s="45"/>
    </row>
    <row r="506" ht="15.75" customHeight="1">
      <c r="B506" s="45"/>
      <c r="C506" s="45"/>
    </row>
    <row r="507" ht="15.75" customHeight="1">
      <c r="B507" s="45"/>
      <c r="C507" s="45"/>
    </row>
    <row r="508" ht="15.75" customHeight="1">
      <c r="B508" s="45"/>
      <c r="C508" s="45"/>
    </row>
    <row r="509" ht="15.75" customHeight="1">
      <c r="B509" s="45"/>
      <c r="C509" s="45"/>
    </row>
    <row r="510" ht="15.75" customHeight="1">
      <c r="B510" s="45"/>
      <c r="C510" s="45"/>
    </row>
    <row r="511" ht="15.75" customHeight="1">
      <c r="B511" s="45"/>
      <c r="C511" s="45"/>
    </row>
    <row r="512" ht="15.75" customHeight="1">
      <c r="B512" s="45"/>
      <c r="C512" s="45"/>
    </row>
    <row r="513" ht="15.75" customHeight="1">
      <c r="B513" s="45"/>
      <c r="C513" s="45"/>
    </row>
    <row r="514" ht="15.75" customHeight="1">
      <c r="B514" s="45"/>
      <c r="C514" s="45"/>
    </row>
    <row r="515" ht="15.75" customHeight="1">
      <c r="B515" s="45"/>
      <c r="C515" s="45"/>
    </row>
    <row r="516" ht="15.75" customHeight="1">
      <c r="B516" s="45"/>
      <c r="C516" s="45"/>
    </row>
    <row r="517" ht="15.75" customHeight="1">
      <c r="B517" s="45"/>
      <c r="C517" s="45"/>
    </row>
    <row r="518" ht="15.75" customHeight="1">
      <c r="B518" s="45"/>
      <c r="C518" s="45"/>
    </row>
    <row r="519" ht="15.75" customHeight="1">
      <c r="B519" s="45"/>
      <c r="C519" s="45"/>
    </row>
    <row r="520" ht="15.75" customHeight="1">
      <c r="B520" s="45"/>
      <c r="C520" s="45"/>
    </row>
    <row r="521" ht="15.75" customHeight="1">
      <c r="B521" s="45"/>
      <c r="C521" s="45"/>
    </row>
    <row r="522" ht="15.75" customHeight="1">
      <c r="B522" s="45"/>
      <c r="C522" s="45"/>
    </row>
    <row r="523" ht="15.75" customHeight="1">
      <c r="B523" s="45"/>
      <c r="C523" s="45"/>
    </row>
    <row r="524" ht="15.75" customHeight="1">
      <c r="B524" s="45"/>
      <c r="C524" s="45"/>
    </row>
    <row r="525" ht="15.75" customHeight="1">
      <c r="B525" s="45"/>
      <c r="C525" s="45"/>
    </row>
    <row r="526" ht="15.75" customHeight="1">
      <c r="B526" s="45"/>
      <c r="C526" s="45"/>
    </row>
    <row r="527" ht="15.75" customHeight="1">
      <c r="B527" s="45"/>
      <c r="C527" s="45"/>
    </row>
    <row r="528" ht="15.75" customHeight="1">
      <c r="B528" s="45"/>
      <c r="C528" s="45"/>
    </row>
    <row r="529" ht="15.75" customHeight="1">
      <c r="B529" s="45"/>
      <c r="C529" s="45"/>
    </row>
    <row r="530" ht="15.75" customHeight="1">
      <c r="B530" s="45"/>
      <c r="C530" s="45"/>
    </row>
    <row r="531" ht="15.75" customHeight="1">
      <c r="B531" s="45"/>
      <c r="C531" s="45"/>
    </row>
    <row r="532" ht="15.75" customHeight="1">
      <c r="B532" s="45"/>
      <c r="C532" s="45"/>
    </row>
    <row r="533" ht="15.75" customHeight="1">
      <c r="B533" s="45"/>
      <c r="C533" s="45"/>
    </row>
    <row r="534" ht="15.75" customHeight="1">
      <c r="B534" s="45"/>
      <c r="C534" s="45"/>
    </row>
    <row r="535" ht="15.75" customHeight="1">
      <c r="B535" s="45"/>
      <c r="C535" s="45"/>
    </row>
    <row r="536" ht="15.75" customHeight="1">
      <c r="B536" s="45"/>
      <c r="C536" s="45"/>
    </row>
    <row r="537" ht="15.75" customHeight="1">
      <c r="B537" s="45"/>
      <c r="C537" s="45"/>
    </row>
    <row r="538" ht="15.75" customHeight="1">
      <c r="B538" s="45"/>
      <c r="C538" s="45"/>
    </row>
    <row r="539" ht="15.75" customHeight="1">
      <c r="B539" s="45"/>
      <c r="C539" s="45"/>
    </row>
    <row r="540" ht="15.75" customHeight="1">
      <c r="B540" s="45"/>
      <c r="C540" s="45"/>
    </row>
    <row r="541" ht="15.75" customHeight="1">
      <c r="B541" s="45"/>
      <c r="C541" s="45"/>
    </row>
    <row r="542" ht="15.75" customHeight="1">
      <c r="B542" s="45"/>
      <c r="C542" s="45"/>
    </row>
    <row r="543" ht="15.75" customHeight="1">
      <c r="B543" s="45"/>
      <c r="C543" s="45"/>
    </row>
    <row r="544" ht="15.75" customHeight="1">
      <c r="B544" s="45"/>
      <c r="C544" s="45"/>
    </row>
    <row r="545" ht="15.75" customHeight="1">
      <c r="B545" s="45"/>
      <c r="C545" s="45"/>
    </row>
    <row r="546" ht="15.75" customHeight="1">
      <c r="B546" s="45"/>
      <c r="C546" s="45"/>
    </row>
    <row r="547" ht="15.75" customHeight="1">
      <c r="B547" s="45"/>
      <c r="C547" s="45"/>
    </row>
    <row r="548" ht="15.75" customHeight="1">
      <c r="B548" s="45"/>
      <c r="C548" s="45"/>
    </row>
    <row r="549" ht="15.75" customHeight="1">
      <c r="B549" s="45"/>
      <c r="C549" s="45"/>
    </row>
    <row r="550" ht="15.75" customHeight="1">
      <c r="B550" s="45"/>
      <c r="C550" s="45"/>
    </row>
    <row r="551" ht="15.75" customHeight="1">
      <c r="B551" s="45"/>
      <c r="C551" s="45"/>
    </row>
    <row r="552" ht="15.75" customHeight="1">
      <c r="B552" s="45"/>
      <c r="C552" s="45"/>
    </row>
    <row r="553" ht="15.75" customHeight="1">
      <c r="B553" s="45"/>
      <c r="C553" s="45"/>
    </row>
    <row r="554" ht="15.75" customHeight="1">
      <c r="B554" s="45"/>
      <c r="C554" s="45"/>
    </row>
    <row r="555" ht="15.75" customHeight="1">
      <c r="B555" s="45"/>
      <c r="C555" s="45"/>
    </row>
    <row r="556" ht="15.75" customHeight="1">
      <c r="B556" s="45"/>
      <c r="C556" s="45"/>
    </row>
    <row r="557" ht="15.75" customHeight="1">
      <c r="B557" s="45"/>
      <c r="C557" s="45"/>
    </row>
    <row r="558" ht="15.75" customHeight="1">
      <c r="B558" s="45"/>
      <c r="C558" s="45"/>
    </row>
    <row r="559" ht="15.75" customHeight="1">
      <c r="B559" s="45"/>
      <c r="C559" s="45"/>
    </row>
    <row r="560" ht="15.75" customHeight="1">
      <c r="B560" s="45"/>
      <c r="C560" s="45"/>
    </row>
    <row r="561" ht="15.75" customHeight="1">
      <c r="B561" s="45"/>
      <c r="C561" s="45"/>
    </row>
    <row r="562" ht="15.75" customHeight="1">
      <c r="B562" s="45"/>
      <c r="C562" s="45"/>
    </row>
    <row r="563" ht="15.75" customHeight="1">
      <c r="B563" s="45"/>
      <c r="C563" s="45"/>
    </row>
    <row r="564" ht="15.75" customHeight="1">
      <c r="B564" s="45"/>
      <c r="C564" s="45"/>
    </row>
    <row r="565" ht="15.75" customHeight="1">
      <c r="B565" s="45"/>
      <c r="C565" s="45"/>
    </row>
    <row r="566" ht="15.75" customHeight="1">
      <c r="B566" s="45"/>
      <c r="C566" s="45"/>
    </row>
    <row r="567" ht="15.75" customHeight="1">
      <c r="B567" s="45"/>
      <c r="C567" s="45"/>
    </row>
    <row r="568" ht="15.75" customHeight="1">
      <c r="B568" s="45"/>
      <c r="C568" s="45"/>
    </row>
    <row r="569" ht="15.75" customHeight="1">
      <c r="B569" s="45"/>
      <c r="C569" s="45"/>
    </row>
    <row r="570" ht="15.75" customHeight="1">
      <c r="B570" s="45"/>
      <c r="C570" s="45"/>
    </row>
    <row r="571" ht="15.75" customHeight="1">
      <c r="B571" s="45"/>
      <c r="C571" s="45"/>
    </row>
    <row r="572" ht="15.75" customHeight="1">
      <c r="B572" s="45"/>
      <c r="C572" s="45"/>
    </row>
    <row r="573" ht="15.75" customHeight="1">
      <c r="B573" s="45"/>
      <c r="C573" s="45"/>
    </row>
    <row r="574" ht="15.75" customHeight="1">
      <c r="B574" s="45"/>
      <c r="C574" s="45"/>
    </row>
    <row r="575" ht="15.75" customHeight="1">
      <c r="B575" s="45"/>
      <c r="C575" s="45"/>
    </row>
    <row r="576" ht="15.75" customHeight="1">
      <c r="B576" s="45"/>
      <c r="C576" s="45"/>
    </row>
    <row r="577" ht="15.75" customHeight="1">
      <c r="B577" s="45"/>
      <c r="C577" s="45"/>
    </row>
    <row r="578" ht="15.75" customHeight="1">
      <c r="B578" s="45"/>
      <c r="C578" s="45"/>
    </row>
    <row r="579" ht="15.75" customHeight="1">
      <c r="B579" s="45"/>
      <c r="C579" s="45"/>
    </row>
    <row r="580" ht="15.75" customHeight="1">
      <c r="B580" s="45"/>
      <c r="C580" s="45"/>
    </row>
    <row r="581" ht="15.75" customHeight="1">
      <c r="B581" s="45"/>
      <c r="C581" s="45"/>
    </row>
    <row r="582" ht="15.75" customHeight="1">
      <c r="B582" s="45"/>
      <c r="C582" s="45"/>
    </row>
    <row r="583" ht="15.75" customHeight="1">
      <c r="B583" s="45"/>
      <c r="C583" s="45"/>
    </row>
    <row r="584" ht="15.75" customHeight="1">
      <c r="B584" s="45"/>
      <c r="C584" s="45"/>
    </row>
    <row r="585" ht="15.75" customHeight="1">
      <c r="B585" s="45"/>
      <c r="C585" s="45"/>
    </row>
    <row r="586" ht="15.75" customHeight="1">
      <c r="B586" s="45"/>
      <c r="C586" s="45"/>
    </row>
    <row r="587" ht="15.75" customHeight="1">
      <c r="B587" s="45"/>
      <c r="C587" s="45"/>
    </row>
    <row r="588" ht="15.75" customHeight="1">
      <c r="B588" s="45"/>
      <c r="C588" s="45"/>
    </row>
    <row r="589" ht="15.75" customHeight="1">
      <c r="B589" s="45"/>
      <c r="C589" s="45"/>
    </row>
    <row r="590" ht="15.75" customHeight="1">
      <c r="B590" s="45"/>
      <c r="C590" s="45"/>
    </row>
    <row r="591" ht="15.75" customHeight="1">
      <c r="B591" s="45"/>
      <c r="C591" s="45"/>
    </row>
    <row r="592" ht="15.75" customHeight="1">
      <c r="B592" s="45"/>
      <c r="C592" s="45"/>
    </row>
    <row r="593" ht="15.75" customHeight="1">
      <c r="B593" s="45"/>
      <c r="C593" s="45"/>
    </row>
    <row r="594" ht="15.75" customHeight="1">
      <c r="B594" s="45"/>
      <c r="C594" s="45"/>
    </row>
    <row r="595" ht="15.75" customHeight="1">
      <c r="B595" s="45"/>
      <c r="C595" s="45"/>
    </row>
    <row r="596" ht="15.75" customHeight="1">
      <c r="B596" s="45"/>
      <c r="C596" s="45"/>
    </row>
    <row r="597" ht="15.75" customHeight="1">
      <c r="B597" s="45"/>
      <c r="C597" s="45"/>
    </row>
    <row r="598" ht="15.75" customHeight="1">
      <c r="B598" s="45"/>
      <c r="C598" s="45"/>
    </row>
    <row r="599" ht="15.75" customHeight="1">
      <c r="B599" s="45"/>
      <c r="C599" s="45"/>
    </row>
    <row r="600" ht="15.75" customHeight="1">
      <c r="B600" s="45"/>
      <c r="C600" s="45"/>
    </row>
    <row r="601" ht="15.75" customHeight="1">
      <c r="B601" s="45"/>
      <c r="C601" s="45"/>
    </row>
    <row r="602" ht="15.75" customHeight="1">
      <c r="B602" s="45"/>
      <c r="C602" s="45"/>
    </row>
    <row r="603" ht="15.75" customHeight="1">
      <c r="B603" s="45"/>
      <c r="C603" s="45"/>
    </row>
    <row r="604" ht="15.75" customHeight="1">
      <c r="B604" s="45"/>
      <c r="C604" s="45"/>
    </row>
    <row r="605" ht="15.75" customHeight="1">
      <c r="B605" s="45"/>
      <c r="C605" s="45"/>
    </row>
    <row r="606" ht="15.75" customHeight="1">
      <c r="B606" s="45"/>
      <c r="C606" s="45"/>
    </row>
    <row r="607" ht="15.75" customHeight="1">
      <c r="B607" s="45"/>
      <c r="C607" s="45"/>
    </row>
    <row r="608" ht="15.75" customHeight="1">
      <c r="B608" s="45"/>
      <c r="C608" s="45"/>
    </row>
    <row r="609" ht="15.75" customHeight="1">
      <c r="B609" s="45"/>
      <c r="C609" s="45"/>
    </row>
    <row r="610" ht="15.75" customHeight="1">
      <c r="B610" s="45"/>
      <c r="C610" s="45"/>
    </row>
    <row r="611" ht="15.75" customHeight="1">
      <c r="B611" s="45"/>
      <c r="C611" s="45"/>
    </row>
    <row r="612" ht="15.75" customHeight="1">
      <c r="B612" s="45"/>
      <c r="C612" s="45"/>
    </row>
    <row r="613" ht="15.75" customHeight="1">
      <c r="B613" s="45"/>
      <c r="C613" s="45"/>
    </row>
    <row r="614" ht="15.75" customHeight="1">
      <c r="B614" s="45"/>
      <c r="C614" s="45"/>
    </row>
    <row r="615" ht="15.75" customHeight="1">
      <c r="B615" s="45"/>
      <c r="C615" s="45"/>
    </row>
    <row r="616" ht="15.75" customHeight="1">
      <c r="B616" s="45"/>
      <c r="C616" s="45"/>
    </row>
    <row r="617" ht="15.75" customHeight="1">
      <c r="B617" s="45"/>
      <c r="C617" s="45"/>
    </row>
    <row r="618" ht="15.75" customHeight="1">
      <c r="B618" s="45"/>
      <c r="C618" s="45"/>
    </row>
    <row r="619" ht="15.75" customHeight="1">
      <c r="B619" s="45"/>
      <c r="C619" s="45"/>
    </row>
    <row r="620" ht="15.75" customHeight="1">
      <c r="B620" s="45"/>
      <c r="C620" s="45"/>
    </row>
    <row r="621" ht="15.75" customHeight="1">
      <c r="B621" s="45"/>
      <c r="C621" s="45"/>
    </row>
    <row r="622" ht="15.75" customHeight="1">
      <c r="B622" s="45"/>
      <c r="C622" s="45"/>
    </row>
    <row r="623" ht="15.75" customHeight="1">
      <c r="B623" s="45"/>
      <c r="C623" s="45"/>
    </row>
    <row r="624" ht="15.75" customHeight="1">
      <c r="B624" s="45"/>
      <c r="C624" s="45"/>
    </row>
    <row r="625" ht="15.75" customHeight="1">
      <c r="B625" s="45"/>
      <c r="C625" s="45"/>
    </row>
    <row r="626" ht="15.75" customHeight="1">
      <c r="B626" s="45"/>
      <c r="C626" s="45"/>
    </row>
    <row r="627" ht="15.75" customHeight="1">
      <c r="B627" s="45"/>
      <c r="C627" s="45"/>
    </row>
    <row r="628" ht="15.75" customHeight="1">
      <c r="B628" s="45"/>
      <c r="C628" s="45"/>
    </row>
    <row r="629" ht="15.75" customHeight="1">
      <c r="B629" s="45"/>
      <c r="C629" s="45"/>
    </row>
    <row r="630" ht="15.75" customHeight="1">
      <c r="B630" s="45"/>
      <c r="C630" s="45"/>
    </row>
    <row r="631" ht="15.75" customHeight="1">
      <c r="B631" s="45"/>
      <c r="C631" s="45"/>
    </row>
    <row r="632" ht="15.75" customHeight="1">
      <c r="B632" s="45"/>
      <c r="C632" s="45"/>
    </row>
    <row r="633" ht="15.75" customHeight="1">
      <c r="B633" s="45"/>
      <c r="C633" s="45"/>
    </row>
    <row r="634" ht="15.75" customHeight="1">
      <c r="B634" s="45"/>
      <c r="C634" s="45"/>
    </row>
    <row r="635" ht="15.75" customHeight="1">
      <c r="B635" s="45"/>
      <c r="C635" s="45"/>
    </row>
    <row r="636" ht="15.75" customHeight="1">
      <c r="B636" s="45"/>
      <c r="C636" s="45"/>
    </row>
    <row r="637" ht="15.75" customHeight="1">
      <c r="B637" s="45"/>
      <c r="C637" s="45"/>
    </row>
    <row r="638" ht="15.75" customHeight="1">
      <c r="B638" s="45"/>
      <c r="C638" s="45"/>
    </row>
    <row r="639" ht="15.75" customHeight="1">
      <c r="B639" s="45"/>
      <c r="C639" s="45"/>
    </row>
    <row r="640" ht="15.75" customHeight="1">
      <c r="B640" s="45"/>
      <c r="C640" s="45"/>
    </row>
    <row r="641" ht="15.75" customHeight="1">
      <c r="B641" s="45"/>
      <c r="C641" s="45"/>
    </row>
    <row r="642" ht="15.75" customHeight="1">
      <c r="B642" s="45"/>
      <c r="C642" s="45"/>
    </row>
    <row r="643" ht="15.75" customHeight="1">
      <c r="B643" s="45"/>
      <c r="C643" s="45"/>
    </row>
    <row r="644" ht="15.75" customHeight="1">
      <c r="B644" s="45"/>
      <c r="C644" s="45"/>
    </row>
    <row r="645" ht="15.75" customHeight="1">
      <c r="B645" s="45"/>
      <c r="C645" s="45"/>
    </row>
    <row r="646" ht="15.75" customHeight="1">
      <c r="B646" s="45"/>
      <c r="C646" s="45"/>
    </row>
    <row r="647" ht="15.75" customHeight="1">
      <c r="B647" s="45"/>
      <c r="C647" s="45"/>
    </row>
    <row r="648" ht="15.75" customHeight="1">
      <c r="B648" s="45"/>
      <c r="C648" s="45"/>
    </row>
    <row r="649" ht="15.75" customHeight="1">
      <c r="B649" s="45"/>
      <c r="C649" s="45"/>
    </row>
    <row r="650" ht="15.75" customHeight="1">
      <c r="B650" s="45"/>
      <c r="C650" s="45"/>
    </row>
    <row r="651" ht="15.75" customHeight="1">
      <c r="B651" s="45"/>
      <c r="C651" s="45"/>
    </row>
    <row r="652" ht="15.75" customHeight="1">
      <c r="B652" s="45"/>
      <c r="C652" s="45"/>
    </row>
    <row r="653" ht="15.75" customHeight="1">
      <c r="B653" s="45"/>
      <c r="C653" s="45"/>
    </row>
    <row r="654" ht="15.75" customHeight="1">
      <c r="B654" s="45"/>
      <c r="C654" s="45"/>
    </row>
    <row r="655" ht="15.75" customHeight="1">
      <c r="B655" s="45"/>
      <c r="C655" s="45"/>
    </row>
    <row r="656" ht="15.75" customHeight="1">
      <c r="B656" s="45"/>
      <c r="C656" s="45"/>
    </row>
    <row r="657" ht="15.75" customHeight="1">
      <c r="B657" s="45"/>
      <c r="C657" s="45"/>
    </row>
    <row r="658" ht="15.75" customHeight="1">
      <c r="B658" s="45"/>
      <c r="C658" s="45"/>
    </row>
    <row r="659" ht="15.75" customHeight="1">
      <c r="B659" s="45"/>
      <c r="C659" s="45"/>
    </row>
    <row r="660" ht="15.75" customHeight="1">
      <c r="B660" s="45"/>
      <c r="C660" s="45"/>
    </row>
    <row r="661" ht="15.75" customHeight="1">
      <c r="B661" s="45"/>
      <c r="C661" s="45"/>
    </row>
    <row r="662" ht="15.75" customHeight="1">
      <c r="B662" s="45"/>
      <c r="C662" s="45"/>
    </row>
    <row r="663" ht="15.75" customHeight="1">
      <c r="B663" s="45"/>
      <c r="C663" s="45"/>
    </row>
    <row r="664" ht="15.75" customHeight="1">
      <c r="B664" s="45"/>
      <c r="C664" s="45"/>
    </row>
    <row r="665" ht="15.75" customHeight="1">
      <c r="B665" s="45"/>
      <c r="C665" s="45"/>
    </row>
    <row r="666" ht="15.75" customHeight="1">
      <c r="B666" s="45"/>
      <c r="C666" s="45"/>
    </row>
    <row r="667" ht="15.75" customHeight="1">
      <c r="B667" s="45"/>
      <c r="C667" s="45"/>
    </row>
    <row r="668" ht="15.75" customHeight="1">
      <c r="B668" s="45"/>
      <c r="C668" s="45"/>
    </row>
    <row r="669" ht="15.75" customHeight="1">
      <c r="B669" s="45"/>
      <c r="C669" s="45"/>
    </row>
    <row r="670" ht="15.75" customHeight="1">
      <c r="B670" s="45"/>
      <c r="C670" s="45"/>
    </row>
    <row r="671" ht="15.75" customHeight="1">
      <c r="B671" s="45"/>
      <c r="C671" s="45"/>
    </row>
    <row r="672" ht="15.75" customHeight="1">
      <c r="B672" s="45"/>
      <c r="C672" s="45"/>
    </row>
    <row r="673" ht="15.75" customHeight="1">
      <c r="B673" s="45"/>
      <c r="C673" s="45"/>
    </row>
    <row r="674" ht="15.75" customHeight="1">
      <c r="B674" s="45"/>
      <c r="C674" s="45"/>
    </row>
    <row r="675" ht="15.75" customHeight="1">
      <c r="B675" s="45"/>
      <c r="C675" s="45"/>
    </row>
    <row r="676" ht="15.75" customHeight="1">
      <c r="B676" s="45"/>
      <c r="C676" s="45"/>
    </row>
    <row r="677" ht="15.75" customHeight="1">
      <c r="B677" s="45"/>
      <c r="C677" s="45"/>
    </row>
    <row r="678" ht="15.75" customHeight="1">
      <c r="B678" s="45"/>
      <c r="C678" s="45"/>
    </row>
    <row r="679" ht="15.75" customHeight="1">
      <c r="B679" s="45"/>
      <c r="C679" s="45"/>
    </row>
    <row r="680" ht="15.75" customHeight="1">
      <c r="B680" s="45"/>
      <c r="C680" s="45"/>
    </row>
    <row r="681" ht="15.75" customHeight="1">
      <c r="B681" s="45"/>
      <c r="C681" s="45"/>
    </row>
    <row r="682" ht="15.75" customHeight="1">
      <c r="B682" s="45"/>
      <c r="C682" s="45"/>
    </row>
    <row r="683" ht="15.75" customHeight="1">
      <c r="B683" s="45"/>
      <c r="C683" s="45"/>
    </row>
    <row r="684" ht="15.75" customHeight="1">
      <c r="B684" s="45"/>
      <c r="C684" s="45"/>
    </row>
    <row r="685" ht="15.75" customHeight="1">
      <c r="B685" s="45"/>
      <c r="C685" s="45"/>
    </row>
    <row r="686" ht="15.75" customHeight="1">
      <c r="B686" s="45"/>
      <c r="C686" s="45"/>
    </row>
    <row r="687" ht="15.75" customHeight="1">
      <c r="B687" s="45"/>
      <c r="C687" s="45"/>
    </row>
    <row r="688" ht="15.75" customHeight="1">
      <c r="B688" s="45"/>
      <c r="C688" s="45"/>
    </row>
    <row r="689" ht="15.75" customHeight="1">
      <c r="B689" s="45"/>
      <c r="C689" s="45"/>
    </row>
    <row r="690" ht="15.75" customHeight="1">
      <c r="B690" s="45"/>
      <c r="C690" s="45"/>
    </row>
    <row r="691" ht="15.75" customHeight="1">
      <c r="B691" s="45"/>
      <c r="C691" s="45"/>
    </row>
    <row r="692" ht="15.75" customHeight="1">
      <c r="B692" s="45"/>
      <c r="C692" s="45"/>
    </row>
    <row r="693" ht="15.75" customHeight="1">
      <c r="B693" s="45"/>
      <c r="C693" s="45"/>
    </row>
    <row r="694" ht="15.75" customHeight="1">
      <c r="B694" s="45"/>
      <c r="C694" s="45"/>
    </row>
    <row r="695" ht="15.75" customHeight="1">
      <c r="B695" s="45"/>
      <c r="C695" s="45"/>
    </row>
    <row r="696" ht="15.75" customHeight="1">
      <c r="B696" s="45"/>
      <c r="C696" s="45"/>
    </row>
    <row r="697" ht="15.75" customHeight="1">
      <c r="B697" s="45"/>
      <c r="C697" s="45"/>
    </row>
    <row r="698" ht="15.75" customHeight="1">
      <c r="B698" s="45"/>
      <c r="C698" s="45"/>
    </row>
    <row r="699" ht="15.75" customHeight="1">
      <c r="B699" s="45"/>
      <c r="C699" s="45"/>
    </row>
    <row r="700" ht="15.75" customHeight="1">
      <c r="B700" s="45"/>
      <c r="C700" s="45"/>
    </row>
    <row r="701" ht="15.75" customHeight="1">
      <c r="B701" s="45"/>
      <c r="C701" s="45"/>
    </row>
    <row r="702" ht="15.75" customHeight="1">
      <c r="B702" s="45"/>
      <c r="C702" s="45"/>
    </row>
    <row r="703" ht="15.75" customHeight="1">
      <c r="B703" s="45"/>
      <c r="C703" s="45"/>
    </row>
    <row r="704" ht="15.75" customHeight="1">
      <c r="B704" s="45"/>
      <c r="C704" s="45"/>
    </row>
    <row r="705" ht="15.75" customHeight="1">
      <c r="B705" s="45"/>
      <c r="C705" s="45"/>
    </row>
    <row r="706" ht="15.75" customHeight="1">
      <c r="B706" s="45"/>
      <c r="C706" s="45"/>
    </row>
    <row r="707" ht="15.75" customHeight="1">
      <c r="B707" s="45"/>
      <c r="C707" s="45"/>
    </row>
    <row r="708" ht="15.75" customHeight="1">
      <c r="B708" s="45"/>
      <c r="C708" s="45"/>
    </row>
    <row r="709" ht="15.75" customHeight="1">
      <c r="B709" s="45"/>
      <c r="C709" s="45"/>
    </row>
    <row r="710" ht="15.75" customHeight="1">
      <c r="B710" s="45"/>
      <c r="C710" s="45"/>
    </row>
    <row r="711" ht="15.75" customHeight="1">
      <c r="B711" s="45"/>
      <c r="C711" s="45"/>
    </row>
    <row r="712" ht="15.75" customHeight="1">
      <c r="B712" s="45"/>
      <c r="C712" s="45"/>
    </row>
    <row r="713" ht="15.75" customHeight="1">
      <c r="B713" s="45"/>
      <c r="C713" s="45"/>
    </row>
    <row r="714" ht="15.75" customHeight="1">
      <c r="B714" s="45"/>
      <c r="C714" s="45"/>
    </row>
    <row r="715" ht="15.75" customHeight="1">
      <c r="B715" s="45"/>
      <c r="C715" s="45"/>
    </row>
    <row r="716" ht="15.75" customHeight="1">
      <c r="B716" s="45"/>
      <c r="C716" s="45"/>
    </row>
    <row r="717" ht="15.75" customHeight="1">
      <c r="B717" s="45"/>
      <c r="C717" s="45"/>
    </row>
    <row r="718" ht="15.75" customHeight="1">
      <c r="B718" s="45"/>
      <c r="C718" s="45"/>
    </row>
    <row r="719" ht="15.75" customHeight="1">
      <c r="B719" s="45"/>
      <c r="C719" s="45"/>
    </row>
    <row r="720" ht="15.75" customHeight="1">
      <c r="B720" s="45"/>
      <c r="C720" s="45"/>
    </row>
    <row r="721" ht="15.75" customHeight="1">
      <c r="B721" s="45"/>
      <c r="C721" s="45"/>
    </row>
    <row r="722" ht="15.75" customHeight="1">
      <c r="B722" s="45"/>
      <c r="C722" s="45"/>
    </row>
    <row r="723" ht="15.75" customHeight="1">
      <c r="B723" s="45"/>
      <c r="C723" s="45"/>
    </row>
    <row r="724" ht="15.75" customHeight="1">
      <c r="B724" s="45"/>
      <c r="C724" s="45"/>
    </row>
    <row r="725" ht="15.75" customHeight="1">
      <c r="B725" s="45"/>
      <c r="C725" s="45"/>
    </row>
    <row r="726" ht="15.75" customHeight="1">
      <c r="B726" s="45"/>
      <c r="C726" s="45"/>
    </row>
    <row r="727" ht="15.75" customHeight="1">
      <c r="B727" s="45"/>
      <c r="C727" s="45"/>
    </row>
    <row r="728" ht="15.75" customHeight="1">
      <c r="B728" s="45"/>
      <c r="C728" s="45"/>
    </row>
    <row r="729" ht="15.75" customHeight="1">
      <c r="B729" s="45"/>
      <c r="C729" s="45"/>
    </row>
    <row r="730" ht="15.75" customHeight="1">
      <c r="B730" s="45"/>
      <c r="C730" s="45"/>
    </row>
    <row r="731" ht="15.75" customHeight="1">
      <c r="B731" s="45"/>
      <c r="C731" s="45"/>
    </row>
    <row r="732" ht="15.75" customHeight="1">
      <c r="B732" s="45"/>
      <c r="C732" s="45"/>
    </row>
    <row r="733" ht="15.75" customHeight="1">
      <c r="B733" s="45"/>
      <c r="C733" s="45"/>
    </row>
    <row r="734" ht="15.75" customHeight="1">
      <c r="B734" s="45"/>
      <c r="C734" s="45"/>
    </row>
    <row r="735" ht="15.75" customHeight="1">
      <c r="B735" s="45"/>
      <c r="C735" s="45"/>
    </row>
    <row r="736" ht="15.75" customHeight="1">
      <c r="B736" s="45"/>
      <c r="C736" s="45"/>
    </row>
    <row r="737" ht="15.75" customHeight="1">
      <c r="B737" s="45"/>
      <c r="C737" s="45"/>
    </row>
    <row r="738" ht="15.75" customHeight="1">
      <c r="B738" s="45"/>
      <c r="C738" s="45"/>
    </row>
    <row r="739" ht="15.75" customHeight="1">
      <c r="B739" s="45"/>
      <c r="C739" s="45"/>
    </row>
    <row r="740" ht="15.75" customHeight="1">
      <c r="B740" s="45"/>
      <c r="C740" s="45"/>
    </row>
    <row r="741" ht="15.75" customHeight="1">
      <c r="B741" s="45"/>
      <c r="C741" s="45"/>
    </row>
    <row r="742" ht="15.75" customHeight="1">
      <c r="B742" s="45"/>
      <c r="C742" s="45"/>
    </row>
    <row r="743" ht="15.75" customHeight="1">
      <c r="B743" s="45"/>
      <c r="C743" s="45"/>
    </row>
    <row r="744" ht="15.75" customHeight="1">
      <c r="B744" s="45"/>
      <c r="C744" s="45"/>
    </row>
    <row r="745" ht="15.75" customHeight="1">
      <c r="B745" s="45"/>
      <c r="C745" s="45"/>
    </row>
    <row r="746" ht="15.75" customHeight="1">
      <c r="B746" s="45"/>
      <c r="C746" s="45"/>
    </row>
    <row r="747" ht="15.75" customHeight="1">
      <c r="B747" s="45"/>
      <c r="C747" s="45"/>
    </row>
    <row r="748" ht="15.75" customHeight="1">
      <c r="B748" s="45"/>
      <c r="C748" s="45"/>
    </row>
    <row r="749" ht="15.75" customHeight="1">
      <c r="B749" s="45"/>
      <c r="C749" s="45"/>
    </row>
    <row r="750" ht="15.75" customHeight="1">
      <c r="B750" s="45"/>
      <c r="C750" s="45"/>
    </row>
    <row r="751" ht="15.75" customHeight="1">
      <c r="B751" s="45"/>
      <c r="C751" s="45"/>
    </row>
    <row r="752" ht="15.75" customHeight="1">
      <c r="B752" s="45"/>
      <c r="C752" s="45"/>
    </row>
    <row r="753" ht="15.75" customHeight="1">
      <c r="B753" s="45"/>
      <c r="C753" s="45"/>
    </row>
    <row r="754" ht="15.75" customHeight="1">
      <c r="B754" s="45"/>
      <c r="C754" s="45"/>
    </row>
    <row r="755" ht="15.75" customHeight="1">
      <c r="B755" s="45"/>
      <c r="C755" s="45"/>
    </row>
    <row r="756" ht="15.75" customHeight="1">
      <c r="B756" s="45"/>
      <c r="C756" s="45"/>
    </row>
    <row r="757" ht="15.75" customHeight="1">
      <c r="B757" s="45"/>
      <c r="C757" s="45"/>
    </row>
    <row r="758" ht="15.75" customHeight="1">
      <c r="B758" s="45"/>
      <c r="C758" s="45"/>
    </row>
    <row r="759" ht="15.75" customHeight="1">
      <c r="B759" s="45"/>
      <c r="C759" s="45"/>
    </row>
    <row r="760" ht="15.75" customHeight="1">
      <c r="B760" s="45"/>
      <c r="C760" s="45"/>
    </row>
    <row r="761" ht="15.75" customHeight="1">
      <c r="B761" s="45"/>
      <c r="C761" s="45"/>
    </row>
    <row r="762" ht="15.75" customHeight="1">
      <c r="B762" s="45"/>
      <c r="C762" s="45"/>
    </row>
    <row r="763" ht="15.75" customHeight="1">
      <c r="B763" s="45"/>
      <c r="C763" s="45"/>
    </row>
    <row r="764" ht="15.75" customHeight="1">
      <c r="B764" s="45"/>
      <c r="C764" s="45"/>
    </row>
    <row r="765" ht="15.75" customHeight="1">
      <c r="B765" s="45"/>
      <c r="C765" s="45"/>
    </row>
    <row r="766" ht="15.75" customHeight="1">
      <c r="B766" s="45"/>
      <c r="C766" s="45"/>
    </row>
    <row r="767" ht="15.75" customHeight="1">
      <c r="B767" s="45"/>
      <c r="C767" s="45"/>
    </row>
    <row r="768" ht="15.75" customHeight="1">
      <c r="B768" s="45"/>
      <c r="C768" s="45"/>
    </row>
    <row r="769" ht="15.75" customHeight="1">
      <c r="B769" s="45"/>
      <c r="C769" s="45"/>
    </row>
    <row r="770" ht="15.75" customHeight="1">
      <c r="B770" s="45"/>
      <c r="C770" s="45"/>
    </row>
    <row r="771" ht="15.75" customHeight="1">
      <c r="B771" s="45"/>
      <c r="C771" s="45"/>
    </row>
    <row r="772" ht="15.75" customHeight="1">
      <c r="B772" s="45"/>
      <c r="C772" s="45"/>
    </row>
    <row r="773" ht="15.75" customHeight="1">
      <c r="B773" s="45"/>
      <c r="C773" s="45"/>
    </row>
    <row r="774" ht="15.75" customHeight="1">
      <c r="B774" s="45"/>
      <c r="C774" s="45"/>
    </row>
    <row r="775" ht="15.75" customHeight="1">
      <c r="B775" s="45"/>
      <c r="C775" s="45"/>
    </row>
    <row r="776" ht="15.75" customHeight="1">
      <c r="B776" s="45"/>
      <c r="C776" s="45"/>
    </row>
    <row r="777" ht="15.75" customHeight="1">
      <c r="B777" s="45"/>
      <c r="C777" s="45"/>
    </row>
    <row r="778" ht="15.75" customHeight="1">
      <c r="B778" s="45"/>
      <c r="C778" s="45"/>
    </row>
    <row r="779" ht="15.75" customHeight="1">
      <c r="B779" s="45"/>
      <c r="C779" s="45"/>
    </row>
    <row r="780" ht="15.75" customHeight="1">
      <c r="B780" s="45"/>
      <c r="C780" s="45"/>
    </row>
    <row r="781" ht="15.75" customHeight="1">
      <c r="B781" s="45"/>
      <c r="C781" s="45"/>
    </row>
    <row r="782" ht="15.75" customHeight="1">
      <c r="B782" s="45"/>
      <c r="C782" s="45"/>
    </row>
    <row r="783" ht="15.75" customHeight="1">
      <c r="B783" s="45"/>
      <c r="C783" s="45"/>
    </row>
    <row r="784" ht="15.75" customHeight="1">
      <c r="B784" s="45"/>
      <c r="C784" s="45"/>
    </row>
    <row r="785" ht="15.75" customHeight="1">
      <c r="B785" s="45"/>
      <c r="C785" s="45"/>
    </row>
    <row r="786" ht="15.75" customHeight="1">
      <c r="B786" s="45"/>
      <c r="C786" s="45"/>
    </row>
    <row r="787" ht="15.75" customHeight="1">
      <c r="B787" s="45"/>
      <c r="C787" s="45"/>
    </row>
    <row r="788" ht="15.75" customHeight="1">
      <c r="B788" s="45"/>
      <c r="C788" s="45"/>
    </row>
    <row r="789" ht="15.75" customHeight="1">
      <c r="B789" s="45"/>
      <c r="C789" s="45"/>
    </row>
    <row r="790" ht="15.75" customHeight="1">
      <c r="B790" s="45"/>
      <c r="C790" s="45"/>
    </row>
    <row r="791" ht="15.75" customHeight="1">
      <c r="B791" s="45"/>
      <c r="C791" s="45"/>
    </row>
    <row r="792" ht="15.75" customHeight="1">
      <c r="B792" s="45"/>
      <c r="C792" s="45"/>
    </row>
    <row r="793" ht="15.75" customHeight="1">
      <c r="B793" s="45"/>
      <c r="C793" s="45"/>
    </row>
    <row r="794" ht="15.75" customHeight="1">
      <c r="B794" s="45"/>
      <c r="C794" s="45"/>
    </row>
    <row r="795" ht="15.75" customHeight="1">
      <c r="B795" s="45"/>
      <c r="C795" s="45"/>
    </row>
    <row r="796" ht="15.75" customHeight="1">
      <c r="B796" s="45"/>
      <c r="C796" s="45"/>
    </row>
    <row r="797" ht="15.75" customHeight="1">
      <c r="B797" s="45"/>
      <c r="C797" s="45"/>
    </row>
    <row r="798" ht="15.75" customHeight="1">
      <c r="B798" s="45"/>
      <c r="C798" s="45"/>
    </row>
    <row r="799" ht="15.75" customHeight="1">
      <c r="B799" s="45"/>
      <c r="C799" s="45"/>
    </row>
    <row r="800" ht="15.75" customHeight="1">
      <c r="B800" s="45"/>
      <c r="C800" s="45"/>
    </row>
    <row r="801" ht="15.75" customHeight="1">
      <c r="B801" s="45"/>
      <c r="C801" s="45"/>
    </row>
    <row r="802" ht="15.75" customHeight="1">
      <c r="B802" s="45"/>
      <c r="C802" s="45"/>
    </row>
    <row r="803" ht="15.75" customHeight="1">
      <c r="B803" s="45"/>
      <c r="C803" s="45"/>
    </row>
    <row r="804" ht="15.75" customHeight="1">
      <c r="B804" s="45"/>
      <c r="C804" s="45"/>
    </row>
    <row r="805" ht="15.75" customHeight="1">
      <c r="B805" s="45"/>
      <c r="C805" s="45"/>
    </row>
    <row r="806" ht="15.75" customHeight="1">
      <c r="B806" s="45"/>
      <c r="C806" s="45"/>
    </row>
    <row r="807" ht="15.75" customHeight="1">
      <c r="B807" s="45"/>
      <c r="C807" s="45"/>
    </row>
    <row r="808" ht="15.75" customHeight="1">
      <c r="B808" s="45"/>
      <c r="C808" s="45"/>
    </row>
    <row r="809" ht="15.75" customHeight="1">
      <c r="B809" s="45"/>
      <c r="C809" s="45"/>
    </row>
    <row r="810" ht="15.75" customHeight="1">
      <c r="B810" s="45"/>
      <c r="C810" s="45"/>
    </row>
    <row r="811" ht="15.75" customHeight="1">
      <c r="B811" s="45"/>
      <c r="C811" s="45"/>
    </row>
    <row r="812" ht="15.75" customHeight="1">
      <c r="B812" s="45"/>
      <c r="C812" s="45"/>
    </row>
    <row r="813" ht="15.75" customHeight="1">
      <c r="B813" s="45"/>
      <c r="C813" s="45"/>
    </row>
    <row r="814" ht="15.75" customHeight="1">
      <c r="B814" s="45"/>
      <c r="C814" s="45"/>
    </row>
    <row r="815" ht="15.75" customHeight="1">
      <c r="B815" s="45"/>
      <c r="C815" s="45"/>
    </row>
    <row r="816" ht="15.75" customHeight="1">
      <c r="B816" s="45"/>
      <c r="C816" s="45"/>
    </row>
    <row r="817" ht="15.75" customHeight="1">
      <c r="B817" s="45"/>
      <c r="C817" s="45"/>
    </row>
    <row r="818" ht="15.75" customHeight="1">
      <c r="B818" s="45"/>
      <c r="C818" s="45"/>
    </row>
    <row r="819" ht="15.75" customHeight="1">
      <c r="B819" s="45"/>
      <c r="C819" s="45"/>
    </row>
    <row r="820" ht="15.75" customHeight="1">
      <c r="B820" s="45"/>
      <c r="C820" s="45"/>
    </row>
    <row r="821" ht="15.75" customHeight="1">
      <c r="B821" s="45"/>
      <c r="C821" s="45"/>
    </row>
    <row r="822" ht="15.75" customHeight="1">
      <c r="B822" s="45"/>
      <c r="C822" s="45"/>
    </row>
    <row r="823" ht="15.75" customHeight="1">
      <c r="B823" s="45"/>
      <c r="C823" s="45"/>
    </row>
    <row r="824" ht="15.75" customHeight="1">
      <c r="B824" s="45"/>
      <c r="C824" s="45"/>
    </row>
    <row r="825" ht="15.75" customHeight="1">
      <c r="B825" s="45"/>
      <c r="C825" s="45"/>
    </row>
    <row r="826" ht="15.75" customHeight="1">
      <c r="B826" s="45"/>
      <c r="C826" s="45"/>
    </row>
    <row r="827" ht="15.75" customHeight="1">
      <c r="B827" s="45"/>
      <c r="C827" s="45"/>
    </row>
    <row r="828" ht="15.75" customHeight="1">
      <c r="B828" s="45"/>
      <c r="C828" s="45"/>
    </row>
    <row r="829" ht="15.75" customHeight="1">
      <c r="B829" s="45"/>
      <c r="C829" s="45"/>
    </row>
    <row r="830" ht="15.75" customHeight="1">
      <c r="B830" s="45"/>
      <c r="C830" s="45"/>
    </row>
    <row r="831" ht="15.75" customHeight="1">
      <c r="B831" s="45"/>
      <c r="C831" s="45"/>
    </row>
    <row r="832" ht="15.75" customHeight="1">
      <c r="B832" s="45"/>
      <c r="C832" s="45"/>
    </row>
    <row r="833" ht="15.75" customHeight="1">
      <c r="B833" s="45"/>
      <c r="C833" s="45"/>
    </row>
    <row r="834" ht="15.75" customHeight="1">
      <c r="B834" s="45"/>
      <c r="C834" s="45"/>
    </row>
    <row r="835" ht="15.75" customHeight="1">
      <c r="B835" s="45"/>
      <c r="C835" s="45"/>
    </row>
    <row r="836" ht="15.75" customHeight="1">
      <c r="B836" s="45"/>
      <c r="C836" s="45"/>
    </row>
    <row r="837" ht="15.75" customHeight="1">
      <c r="B837" s="45"/>
      <c r="C837" s="45"/>
    </row>
    <row r="838" ht="15.75" customHeight="1">
      <c r="B838" s="45"/>
      <c r="C838" s="45"/>
    </row>
    <row r="839" ht="15.75" customHeight="1">
      <c r="B839" s="45"/>
      <c r="C839" s="45"/>
    </row>
    <row r="840" ht="15.75" customHeight="1">
      <c r="B840" s="45"/>
      <c r="C840" s="45"/>
    </row>
    <row r="841" ht="15.75" customHeight="1">
      <c r="B841" s="45"/>
      <c r="C841" s="45"/>
    </row>
    <row r="842" ht="15.75" customHeight="1">
      <c r="B842" s="45"/>
      <c r="C842" s="45"/>
    </row>
    <row r="843" ht="15.75" customHeight="1">
      <c r="B843" s="45"/>
      <c r="C843" s="45"/>
    </row>
    <row r="844" ht="15.75" customHeight="1">
      <c r="B844" s="45"/>
      <c r="C844" s="45"/>
    </row>
    <row r="845" ht="15.75" customHeight="1">
      <c r="B845" s="45"/>
      <c r="C845" s="45"/>
    </row>
    <row r="846" ht="15.75" customHeight="1">
      <c r="B846" s="45"/>
      <c r="C846" s="45"/>
    </row>
    <row r="847" ht="15.75" customHeight="1">
      <c r="B847" s="45"/>
      <c r="C847" s="45"/>
    </row>
    <row r="848" ht="15.75" customHeight="1">
      <c r="B848" s="45"/>
      <c r="C848" s="45"/>
    </row>
    <row r="849" ht="15.75" customHeight="1">
      <c r="B849" s="45"/>
      <c r="C849" s="45"/>
    </row>
    <row r="850" ht="15.75" customHeight="1">
      <c r="B850" s="45"/>
      <c r="C850" s="45"/>
    </row>
    <row r="851" ht="15.75" customHeight="1">
      <c r="B851" s="45"/>
      <c r="C851" s="45"/>
    </row>
    <row r="852" ht="15.75" customHeight="1">
      <c r="B852" s="45"/>
      <c r="C852" s="45"/>
    </row>
    <row r="853" ht="15.75" customHeight="1">
      <c r="B853" s="45"/>
      <c r="C853" s="45"/>
    </row>
    <row r="854" ht="15.75" customHeight="1">
      <c r="B854" s="45"/>
      <c r="C854" s="45"/>
    </row>
    <row r="855" ht="15.75" customHeight="1">
      <c r="B855" s="45"/>
      <c r="C855" s="45"/>
    </row>
    <row r="856" ht="15.75" customHeight="1">
      <c r="B856" s="45"/>
      <c r="C856" s="45"/>
    </row>
    <row r="857" ht="15.75" customHeight="1">
      <c r="B857" s="45"/>
      <c r="C857" s="45"/>
    </row>
    <row r="858" ht="15.75" customHeight="1">
      <c r="B858" s="45"/>
      <c r="C858" s="45"/>
    </row>
    <row r="859" ht="15.75" customHeight="1">
      <c r="B859" s="45"/>
      <c r="C859" s="45"/>
    </row>
    <row r="860" ht="15.75" customHeight="1">
      <c r="B860" s="45"/>
      <c r="C860" s="45"/>
    </row>
    <row r="861" ht="15.75" customHeight="1">
      <c r="B861" s="45"/>
      <c r="C861" s="45"/>
    </row>
    <row r="862" ht="15.75" customHeight="1">
      <c r="B862" s="45"/>
      <c r="C862" s="45"/>
    </row>
    <row r="863" ht="15.75" customHeight="1">
      <c r="B863" s="45"/>
      <c r="C863" s="45"/>
    </row>
    <row r="864" ht="15.75" customHeight="1">
      <c r="B864" s="45"/>
      <c r="C864" s="45"/>
    </row>
    <row r="865" ht="15.75" customHeight="1">
      <c r="B865" s="45"/>
      <c r="C865" s="45"/>
    </row>
    <row r="866" ht="15.75" customHeight="1">
      <c r="B866" s="45"/>
      <c r="C866" s="45"/>
    </row>
    <row r="867" ht="15.75" customHeight="1">
      <c r="B867" s="45"/>
      <c r="C867" s="45"/>
    </row>
    <row r="868" ht="15.75" customHeight="1">
      <c r="B868" s="45"/>
      <c r="C868" s="45"/>
    </row>
    <row r="869" ht="15.75" customHeight="1">
      <c r="B869" s="45"/>
      <c r="C869" s="45"/>
    </row>
    <row r="870" ht="15.75" customHeight="1">
      <c r="B870" s="45"/>
      <c r="C870" s="45"/>
    </row>
    <row r="871" ht="15.75" customHeight="1">
      <c r="B871" s="45"/>
      <c r="C871" s="45"/>
    </row>
    <row r="872" ht="15.75" customHeight="1">
      <c r="B872" s="45"/>
      <c r="C872" s="45"/>
    </row>
    <row r="873" ht="15.75" customHeight="1">
      <c r="B873" s="45"/>
      <c r="C873" s="45"/>
    </row>
    <row r="874" ht="15.75" customHeight="1">
      <c r="B874" s="45"/>
      <c r="C874" s="45"/>
    </row>
    <row r="875" ht="15.75" customHeight="1">
      <c r="B875" s="45"/>
      <c r="C875" s="45"/>
    </row>
    <row r="876" ht="15.75" customHeight="1">
      <c r="B876" s="45"/>
      <c r="C876" s="45"/>
    </row>
    <row r="877" ht="15.75" customHeight="1">
      <c r="B877" s="45"/>
      <c r="C877" s="45"/>
    </row>
    <row r="878" ht="15.75" customHeight="1">
      <c r="B878" s="45"/>
      <c r="C878" s="45"/>
    </row>
    <row r="879" ht="15.75" customHeight="1">
      <c r="B879" s="45"/>
      <c r="C879" s="45"/>
    </row>
    <row r="880" ht="15.75" customHeight="1">
      <c r="B880" s="45"/>
      <c r="C880" s="45"/>
    </row>
    <row r="881" ht="15.75" customHeight="1">
      <c r="B881" s="45"/>
      <c r="C881" s="45"/>
    </row>
    <row r="882" ht="15.75" customHeight="1">
      <c r="B882" s="45"/>
      <c r="C882" s="45"/>
    </row>
    <row r="883" ht="15.75" customHeight="1">
      <c r="B883" s="45"/>
      <c r="C883" s="45"/>
    </row>
    <row r="884" ht="15.75" customHeight="1">
      <c r="B884" s="45"/>
      <c r="C884" s="45"/>
    </row>
    <row r="885" ht="15.75" customHeight="1">
      <c r="B885" s="45"/>
      <c r="C885" s="45"/>
    </row>
    <row r="886" ht="15.75" customHeight="1">
      <c r="B886" s="45"/>
      <c r="C886" s="45"/>
    </row>
    <row r="887" ht="15.75" customHeight="1">
      <c r="B887" s="45"/>
      <c r="C887" s="45"/>
    </row>
    <row r="888" ht="15.75" customHeight="1">
      <c r="B888" s="45"/>
      <c r="C888" s="45"/>
    </row>
    <row r="889" ht="15.75" customHeight="1">
      <c r="B889" s="45"/>
      <c r="C889" s="45"/>
    </row>
    <row r="890" ht="15.75" customHeight="1">
      <c r="B890" s="45"/>
      <c r="C890" s="45"/>
    </row>
    <row r="891" ht="15.75" customHeight="1">
      <c r="B891" s="45"/>
      <c r="C891" s="45"/>
    </row>
    <row r="892" ht="15.75" customHeight="1">
      <c r="B892" s="45"/>
      <c r="C892" s="45"/>
    </row>
    <row r="893" ht="15.75" customHeight="1">
      <c r="B893" s="45"/>
      <c r="C893" s="45"/>
    </row>
    <row r="894" ht="15.75" customHeight="1">
      <c r="B894" s="45"/>
      <c r="C894" s="45"/>
    </row>
    <row r="895" ht="15.75" customHeight="1">
      <c r="B895" s="45"/>
      <c r="C895" s="45"/>
    </row>
    <row r="896" ht="15.75" customHeight="1">
      <c r="B896" s="45"/>
      <c r="C896" s="45"/>
    </row>
    <row r="897" ht="15.75" customHeight="1">
      <c r="B897" s="45"/>
      <c r="C897" s="45"/>
    </row>
    <row r="898" ht="15.75" customHeight="1">
      <c r="B898" s="45"/>
      <c r="C898" s="45"/>
    </row>
    <row r="899" ht="15.75" customHeight="1">
      <c r="B899" s="45"/>
      <c r="C899" s="45"/>
    </row>
    <row r="900" ht="15.75" customHeight="1">
      <c r="B900" s="45"/>
      <c r="C900" s="45"/>
    </row>
    <row r="901" ht="15.75" customHeight="1">
      <c r="B901" s="45"/>
      <c r="C901" s="45"/>
    </row>
    <row r="902" ht="15.75" customHeight="1">
      <c r="B902" s="45"/>
      <c r="C902" s="45"/>
    </row>
    <row r="903" ht="15.75" customHeight="1">
      <c r="B903" s="45"/>
      <c r="C903" s="45"/>
    </row>
    <row r="904" ht="15.75" customHeight="1">
      <c r="B904" s="45"/>
      <c r="C904" s="45"/>
    </row>
    <row r="905" ht="15.75" customHeight="1">
      <c r="B905" s="45"/>
      <c r="C905" s="45"/>
    </row>
    <row r="906" ht="15.75" customHeight="1">
      <c r="B906" s="45"/>
      <c r="C906" s="45"/>
    </row>
    <row r="907" ht="15.75" customHeight="1">
      <c r="B907" s="45"/>
      <c r="C907" s="45"/>
    </row>
    <row r="908" ht="15.75" customHeight="1">
      <c r="B908" s="45"/>
      <c r="C908" s="45"/>
    </row>
    <row r="909" ht="15.75" customHeight="1">
      <c r="B909" s="45"/>
      <c r="C909" s="45"/>
    </row>
    <row r="910" ht="15.75" customHeight="1">
      <c r="B910" s="45"/>
      <c r="C910" s="45"/>
    </row>
    <row r="911" ht="15.75" customHeight="1">
      <c r="B911" s="45"/>
      <c r="C911" s="45"/>
    </row>
    <row r="912" ht="15.75" customHeight="1">
      <c r="B912" s="45"/>
      <c r="C912" s="45"/>
    </row>
    <row r="913" ht="15.75" customHeight="1">
      <c r="B913" s="45"/>
      <c r="C913" s="45"/>
    </row>
    <row r="914" ht="15.75" customHeight="1">
      <c r="B914" s="45"/>
      <c r="C914" s="45"/>
    </row>
    <row r="915" ht="15.75" customHeight="1">
      <c r="B915" s="45"/>
      <c r="C915" s="45"/>
    </row>
    <row r="916" ht="15.75" customHeight="1">
      <c r="B916" s="45"/>
      <c r="C916" s="45"/>
    </row>
    <row r="917" ht="15.75" customHeight="1">
      <c r="B917" s="45"/>
      <c r="C917" s="45"/>
    </row>
    <row r="918" ht="15.75" customHeight="1">
      <c r="B918" s="45"/>
      <c r="C918" s="45"/>
    </row>
    <row r="919" ht="15.75" customHeight="1">
      <c r="B919" s="45"/>
      <c r="C919" s="45"/>
    </row>
    <row r="920" ht="15.75" customHeight="1">
      <c r="B920" s="45"/>
      <c r="C920" s="45"/>
    </row>
    <row r="921" ht="15.75" customHeight="1">
      <c r="B921" s="45"/>
      <c r="C921" s="45"/>
    </row>
    <row r="922" ht="15.75" customHeight="1">
      <c r="B922" s="45"/>
      <c r="C922" s="45"/>
    </row>
    <row r="923" ht="15.75" customHeight="1">
      <c r="B923" s="45"/>
      <c r="C923" s="45"/>
    </row>
    <row r="924" ht="15.75" customHeight="1">
      <c r="B924" s="45"/>
      <c r="C924" s="45"/>
    </row>
    <row r="925" ht="15.75" customHeight="1">
      <c r="B925" s="45"/>
      <c r="C925" s="45"/>
    </row>
    <row r="926" ht="15.75" customHeight="1">
      <c r="B926" s="45"/>
      <c r="C926" s="45"/>
    </row>
    <row r="927" ht="15.75" customHeight="1">
      <c r="B927" s="45"/>
      <c r="C927" s="45"/>
    </row>
    <row r="928" ht="15.75" customHeight="1">
      <c r="B928" s="45"/>
      <c r="C928" s="45"/>
    </row>
    <row r="929" ht="15.75" customHeight="1">
      <c r="B929" s="45"/>
      <c r="C929" s="45"/>
    </row>
    <row r="930" ht="15.75" customHeight="1">
      <c r="B930" s="45"/>
      <c r="C930" s="45"/>
    </row>
    <row r="931" ht="15.75" customHeight="1">
      <c r="B931" s="45"/>
      <c r="C931" s="45"/>
    </row>
    <row r="932" ht="15.75" customHeight="1">
      <c r="B932" s="45"/>
      <c r="C932" s="45"/>
    </row>
    <row r="933" ht="15.75" customHeight="1">
      <c r="B933" s="45"/>
      <c r="C933" s="45"/>
    </row>
    <row r="934" ht="15.75" customHeight="1">
      <c r="B934" s="45"/>
      <c r="C934" s="45"/>
    </row>
    <row r="935" ht="15.75" customHeight="1">
      <c r="B935" s="45"/>
      <c r="C935" s="45"/>
    </row>
    <row r="936" ht="15.75" customHeight="1">
      <c r="B936" s="45"/>
      <c r="C936" s="45"/>
    </row>
    <row r="937" ht="15.75" customHeight="1">
      <c r="B937" s="45"/>
      <c r="C937" s="45"/>
    </row>
    <row r="938" ht="15.75" customHeight="1">
      <c r="B938" s="45"/>
      <c r="C938" s="45"/>
    </row>
    <row r="939" ht="15.75" customHeight="1">
      <c r="B939" s="45"/>
      <c r="C939" s="45"/>
    </row>
    <row r="940" ht="15.75" customHeight="1">
      <c r="B940" s="45"/>
      <c r="C940" s="45"/>
    </row>
    <row r="941" ht="15.75" customHeight="1">
      <c r="B941" s="45"/>
      <c r="C941" s="45"/>
    </row>
    <row r="942" ht="15.75" customHeight="1">
      <c r="B942" s="45"/>
      <c r="C942" s="45"/>
    </row>
    <row r="943" ht="15.75" customHeight="1">
      <c r="B943" s="45"/>
      <c r="C943" s="45"/>
    </row>
    <row r="944" ht="15.75" customHeight="1">
      <c r="B944" s="45"/>
      <c r="C944" s="45"/>
    </row>
    <row r="945" ht="15.75" customHeight="1">
      <c r="B945" s="45"/>
      <c r="C945" s="45"/>
    </row>
    <row r="946" ht="15.75" customHeight="1">
      <c r="B946" s="45"/>
      <c r="C946" s="45"/>
    </row>
    <row r="947" ht="15.75" customHeight="1">
      <c r="B947" s="45"/>
      <c r="C947" s="45"/>
    </row>
    <row r="948" ht="15.75" customHeight="1">
      <c r="B948" s="45"/>
      <c r="C948" s="45"/>
    </row>
    <row r="949" ht="15.75" customHeight="1">
      <c r="B949" s="45"/>
      <c r="C949" s="45"/>
    </row>
    <row r="950" ht="15.75" customHeight="1">
      <c r="B950" s="45"/>
      <c r="C950" s="45"/>
    </row>
    <row r="951" ht="15.75" customHeight="1">
      <c r="B951" s="45"/>
      <c r="C951" s="45"/>
    </row>
    <row r="952" ht="15.75" customHeight="1">
      <c r="B952" s="45"/>
      <c r="C952" s="45"/>
    </row>
    <row r="953" ht="15.75" customHeight="1">
      <c r="B953" s="45"/>
      <c r="C953" s="45"/>
    </row>
    <row r="954" ht="15.75" customHeight="1">
      <c r="B954" s="45"/>
      <c r="C954" s="45"/>
    </row>
    <row r="955" ht="15.75" customHeight="1">
      <c r="B955" s="45"/>
      <c r="C955" s="45"/>
    </row>
    <row r="956" ht="15.75" customHeight="1">
      <c r="B956" s="45"/>
      <c r="C956" s="45"/>
    </row>
    <row r="957" ht="15.75" customHeight="1">
      <c r="B957" s="45"/>
      <c r="C957" s="45"/>
    </row>
    <row r="958" ht="15.75" customHeight="1">
      <c r="B958" s="45"/>
      <c r="C958" s="45"/>
    </row>
    <row r="959" ht="15.75" customHeight="1">
      <c r="B959" s="45"/>
      <c r="C959" s="45"/>
    </row>
    <row r="960" ht="15.75" customHeight="1">
      <c r="B960" s="45"/>
      <c r="C960" s="45"/>
    </row>
    <row r="961" ht="15.75" customHeight="1">
      <c r="B961" s="45"/>
      <c r="C961" s="45"/>
    </row>
    <row r="962" ht="15.75" customHeight="1">
      <c r="B962" s="45"/>
      <c r="C962" s="45"/>
    </row>
    <row r="963" ht="15.75" customHeight="1">
      <c r="B963" s="45"/>
      <c r="C963" s="45"/>
    </row>
    <row r="964" ht="15.75" customHeight="1">
      <c r="B964" s="45"/>
      <c r="C964" s="45"/>
    </row>
    <row r="965" ht="15.75" customHeight="1">
      <c r="B965" s="45"/>
      <c r="C965" s="45"/>
    </row>
    <row r="966" ht="15.75" customHeight="1">
      <c r="B966" s="45"/>
      <c r="C966" s="45"/>
    </row>
    <row r="967" ht="15.75" customHeight="1">
      <c r="B967" s="45"/>
      <c r="C967" s="45"/>
    </row>
    <row r="968" ht="15.75" customHeight="1">
      <c r="B968" s="45"/>
      <c r="C968" s="45"/>
    </row>
    <row r="969" ht="15.75" customHeight="1">
      <c r="B969" s="45"/>
      <c r="C969" s="45"/>
    </row>
    <row r="970" ht="15.75" customHeight="1">
      <c r="B970" s="45"/>
      <c r="C970" s="45"/>
    </row>
    <row r="971" ht="15.75" customHeight="1">
      <c r="B971" s="45"/>
      <c r="C971" s="45"/>
    </row>
    <row r="972" ht="15.75" customHeight="1">
      <c r="B972" s="45"/>
      <c r="C972" s="45"/>
    </row>
    <row r="973" ht="15.75" customHeight="1">
      <c r="B973" s="45"/>
      <c r="C973" s="45"/>
    </row>
    <row r="974" ht="15.75" customHeight="1">
      <c r="B974" s="45"/>
      <c r="C974" s="45"/>
    </row>
    <row r="975" ht="15.75" customHeight="1">
      <c r="B975" s="45"/>
      <c r="C975" s="45"/>
    </row>
    <row r="976" ht="15.75" customHeight="1">
      <c r="B976" s="45"/>
      <c r="C976" s="45"/>
    </row>
    <row r="977" ht="15.75" customHeight="1">
      <c r="B977" s="45"/>
      <c r="C977" s="45"/>
    </row>
    <row r="978" ht="15.75" customHeight="1">
      <c r="B978" s="45"/>
      <c r="C978" s="45"/>
    </row>
    <row r="979" ht="15.75" customHeight="1">
      <c r="B979" s="45"/>
      <c r="C979" s="45"/>
    </row>
    <row r="980" ht="15.75" customHeight="1">
      <c r="B980" s="45"/>
      <c r="C980" s="45"/>
    </row>
    <row r="981" ht="15.75" customHeight="1">
      <c r="B981" s="45"/>
      <c r="C981" s="45"/>
    </row>
    <row r="982" ht="15.75" customHeight="1">
      <c r="B982" s="45"/>
      <c r="C982" s="45"/>
    </row>
    <row r="983" ht="15.75" customHeight="1">
      <c r="B983" s="45"/>
      <c r="C983" s="45"/>
    </row>
    <row r="984" ht="15.75" customHeight="1">
      <c r="B984" s="45"/>
      <c r="C984" s="45"/>
    </row>
    <row r="985" ht="15.75" customHeight="1">
      <c r="B985" s="45"/>
      <c r="C985" s="45"/>
    </row>
    <row r="986" ht="15.75" customHeight="1">
      <c r="B986" s="45"/>
      <c r="C986" s="45"/>
    </row>
    <row r="987" ht="15.75" customHeight="1">
      <c r="B987" s="45"/>
      <c r="C987" s="45"/>
    </row>
    <row r="988" ht="15.75" customHeight="1">
      <c r="B988" s="45"/>
      <c r="C988" s="45"/>
    </row>
    <row r="989" ht="15.75" customHeight="1">
      <c r="B989" s="45"/>
      <c r="C989" s="45"/>
    </row>
    <row r="990" ht="15.75" customHeight="1">
      <c r="B990" s="45"/>
      <c r="C990" s="45"/>
    </row>
    <row r="991" ht="15.75" customHeight="1">
      <c r="B991" s="45"/>
      <c r="C991" s="45"/>
    </row>
    <row r="992" ht="15.75" customHeight="1">
      <c r="B992" s="45"/>
      <c r="C992" s="45"/>
    </row>
    <row r="993" ht="15.75" customHeight="1">
      <c r="B993" s="45"/>
      <c r="C993" s="45"/>
    </row>
    <row r="994" ht="15.75" customHeight="1">
      <c r="B994" s="45"/>
      <c r="C994" s="45"/>
    </row>
    <row r="995" ht="15.75" customHeight="1">
      <c r="B995" s="45"/>
      <c r="C995" s="45"/>
    </row>
    <row r="996" ht="15.75" customHeight="1">
      <c r="B996" s="45"/>
      <c r="C996" s="45"/>
    </row>
    <row r="997" ht="15.75" customHeight="1">
      <c r="B997" s="45"/>
      <c r="C997" s="45"/>
    </row>
    <row r="998" ht="15.75" customHeight="1">
      <c r="B998" s="45"/>
      <c r="C998" s="45"/>
    </row>
    <row r="999" ht="15.75" customHeight="1">
      <c r="B999" s="45"/>
      <c r="C999" s="45"/>
    </row>
    <row r="1000" ht="15.75" customHeight="1">
      <c r="B1000" s="45"/>
      <c r="C1000" s="45"/>
    </row>
  </sheetData>
  <mergeCells count="8">
    <mergeCell ref="B1:C1"/>
    <mergeCell ref="E1:F1"/>
    <mergeCell ref="H1:I1"/>
    <mergeCell ref="K1:L1"/>
    <mergeCell ref="B2:C2"/>
    <mergeCell ref="E2:F2"/>
    <mergeCell ref="H2:I2"/>
    <mergeCell ref="K2:L2"/>
  </mergeCells>
  <printOptions/>
  <pageMargins bottom="0.75" footer="0.0" header="0.0" left="0.25" right="0.25" top="0.75"/>
  <pageSetup paperSize="8" orientation="portrait"/>
  <drawing r:id="rId2"/>
  <legacyDrawing r:id="rId3"/>
</worksheet>
</file>